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sag\Downloads\Hy\"/>
    </mc:Choice>
  </mc:AlternateContent>
  <xr:revisionPtr revIDLastSave="0" documentId="8_{F5BC3814-D791-4A19-B7C5-5D14A16B0E5C}" xr6:coauthVersionLast="47" xr6:coauthVersionMax="47" xr10:uidLastSave="{00000000-0000-0000-0000-000000000000}"/>
  <bookViews>
    <workbookView xWindow="-120" yWindow="-120" windowWidth="29040" windowHeight="15840" xr2:uid="{E301D405-C779-4E03-8D74-EFA291BA0DE0}"/>
  </bookViews>
  <sheets>
    <sheet name="IDF289" sheetId="1" r:id="rId1"/>
  </sheets>
  <definedNames>
    <definedName name="JR_PAGE_ANCHOR_0_24">'IDF289'!$A$1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 s="1"/>
  <c r="C42" i="1" s="1"/>
  <c r="C47" i="1" s="1"/>
  <c r="C32" i="1"/>
  <c r="C41" i="1" s="1"/>
  <c r="C46" i="1" s="1"/>
  <c r="C30" i="1"/>
  <c r="C29" i="1"/>
</calcChain>
</file>

<file path=xl/sharedStrings.xml><?xml version="1.0" encoding="utf-8"?>
<sst xmlns="http://schemas.openxmlformats.org/spreadsheetml/2006/main" count="97" uniqueCount="76">
  <si>
    <t>IDF289</t>
  </si>
  <si>
    <t>Portfolio Statement as on March 31,2026</t>
  </si>
  <si>
    <t>Bandhan CRISIL IBX GILT APRIL 2032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</si>
  <si>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</si>
  <si>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</si>
  <si>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</si>
  <si>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</si>
  <si>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</si>
  <si>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</si>
  <si>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</si>
  <si>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</si>
  <si>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</si>
  <si>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</si>
  <si>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GOI3734</t>
  </si>
  <si>
    <t>6.54% GOI (MD 17/01/2032)</t>
  </si>
  <si>
    <t>IN0020210244</t>
  </si>
  <si>
    <t>SOVEREIGN</t>
  </si>
  <si>
    <t>GOI3528</t>
  </si>
  <si>
    <t>6.1% GOI (MD 12/07/2031)</t>
  </si>
  <si>
    <t>IN0020210095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</si>
  <si>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</si>
  <si>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</si>
  <si>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</si>
  <si>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</si>
  <si>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</si>
  <si>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</si>
  <si>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TRP_020426_VAL</t>
  </si>
  <si>
    <t>Triparty Repo TRP_020426_VAL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</si>
  <si>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</si>
  <si>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</si>
  <si>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</si>
  <si>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</si>
  <si>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</si>
  <si>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</si>
  <si>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</si>
  <si>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</si>
  <si>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Government of India</t>
  </si>
  <si>
    <t>6.54% Government of India</t>
  </si>
  <si>
    <t>6.1% Government of India</t>
  </si>
  <si>
    <t>Clearing Corporation of India</t>
  </si>
  <si>
    <t>Triparty Repo</t>
  </si>
  <si>
    <t>Name and exposure to top 7 groups</t>
  </si>
  <si>
    <t>Name of the Group</t>
  </si>
  <si>
    <t>Name and exposure to top 4 Sectors</t>
  </si>
  <si>
    <t>Name of the Sector</t>
  </si>
  <si>
    <t>Notes:</t>
  </si>
  <si>
    <t>(1) The provision made for below investment grade or default securities as of March 31, 2026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</si>
  <si>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</si>
  <si>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</si>
  <si>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</si>
  <si>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</si>
  <si>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</si>
  <si>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IDF289-AG</t>
  </si>
  <si>
    <t>Growth</t>
  </si>
  <si>
    <t>IDF289-AD</t>
  </si>
  <si>
    <t>IDCW #</t>
  </si>
  <si>
    <t>Direct Plan</t>
  </si>
  <si>
    <t>IDF289-ZG</t>
  </si>
  <si>
    <t>IDF289-ZD</t>
  </si>
  <si>
    <t># Income Distribution cum capital withdrawal option</t>
  </si>
  <si>
    <t>(4) Details of Dividend declared per unit (In Rupees) during the period ended March 31, 2026 are as follows</t>
  </si>
  <si>
    <t>Scheme Name</t>
  </si>
  <si>
    <t>Record Date</t>
  </si>
  <si>
    <t>Dividend (Individual)</t>
  </si>
  <si>
    <t>Dividend (Corporate)</t>
  </si>
  <si>
    <t>Record Date NAV</t>
  </si>
  <si>
    <t>Bandhan CRISIL IBX Gilt April 2032 Index Fund-Direct Plan-IDCW</t>
  </si>
  <si>
    <t>Bandhan CRISIL IBX Gilt April 2032 Index Fund-Regular Plan-IDCW</t>
  </si>
  <si>
    <t>(5) Total outstanding exposure in derivative instruments as on March 31, 2026 is Rs. Nil.</t>
  </si>
  <si>
    <t>(6) Total Market value of investments in foreign securities/ADRs/GDRs as at March 31, 2026 is Rs. Nil.</t>
  </si>
  <si>
    <t>(7) The Average Maturity Period of the Portfolio has been 5.56 Years.</t>
  </si>
  <si>
    <t>(8) Bonus declared during the half-year ended March 31, 2026 : Nil</t>
  </si>
  <si>
    <t>(9) The details of repo transactions of the schemes in corporate debt securities including details of counterparties, amount involved and percentage of NAV :  Nil</t>
  </si>
  <si>
    <t>BENCHMARK NAME - CRISIL-IBX GILT INDEX - APRIL 2032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</si>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</sst>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2" fillId="0" borderId="0" xfId="0" applyFont="1"/>
    <xf numFmtId="0" fontId="9" fillId="0" borderId="0" xfId="0" applyFont="1" applyAlignment="1">
      <alignment horizontal="left" vertical="top" wrapText="1"/>
    </xf>
    <xf numFmtId="0" fontId="2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4" fillId="0" borderId="20" xfId="0" applyFont="1" applyBorder="1" applyAlignment="1">
      <alignment horizontal="left" vertical="top" wrapText="1"/>
    </xf>
    <xf numFmtId="165" fontId="2" fillId="0" borderId="20" xfId="0" applyNumberFormat="1" applyFont="1" applyBorder="1"/>
    <xf numFmtId="0" fontId="10" fillId="0" borderId="21" xfId="1" applyFont="1" applyBorder="1"/>
    <xf numFmtId="0" fontId="11" fillId="0" borderId="22" xfId="1" applyFont="1" applyBorder="1"/>
    <xf numFmtId="166" fontId="12" fillId="0" borderId="22" xfId="1" applyNumberFormat="1" applyFont="1" applyBorder="1"/>
    <xf numFmtId="166" fontId="12" fillId="0" borderId="23" xfId="1" applyNumberFormat="1" applyFont="1" applyBorder="1"/>
    <xf numFmtId="0" fontId="13" fillId="0" borderId="24" xfId="1" applyFont="1" applyBorder="1"/>
    <xf numFmtId="0" fontId="11" fillId="0" borderId="0" xfId="1" applyFont="1"/>
    <xf numFmtId="166" fontId="11" fillId="0" borderId="25" xfId="1" applyNumberFormat="1" applyFont="1" applyBorder="1"/>
    <xf numFmtId="15" fontId="11" fillId="0" borderId="24" xfId="1" applyNumberFormat="1" applyFont="1" applyBorder="1"/>
    <xf numFmtId="166" fontId="12" fillId="0" borderId="0" xfId="1" applyNumberFormat="1" applyFont="1"/>
    <xf numFmtId="0" fontId="11" fillId="0" borderId="26" xfId="1" applyFont="1" applyBorder="1"/>
    <xf numFmtId="0" fontId="11" fillId="0" borderId="27" xfId="1" applyFont="1" applyBorder="1"/>
    <xf numFmtId="166" fontId="11" fillId="0" borderId="28" xfId="1" applyNumberFormat="1" applyFont="1" applyBorder="1"/>
    <xf numFmtId="0" fontId="14" fillId="0" borderId="21" xfId="1" applyFont="1" applyBorder="1"/>
    <xf numFmtId="0" fontId="14" fillId="0" borderId="22" xfId="1" applyFont="1" applyBorder="1"/>
    <xf numFmtId="167" fontId="15" fillId="0" borderId="22" xfId="1" applyNumberFormat="1" applyFont="1" applyBorder="1"/>
    <xf numFmtId="10" fontId="15" fillId="0" borderId="23" xfId="1" applyNumberFormat="1" applyFont="1" applyBorder="1"/>
    <xf numFmtId="0" fontId="14" fillId="0" borderId="26" xfId="1" applyFont="1" applyBorder="1"/>
    <xf numFmtId="15" fontId="14" fillId="0" borderId="27" xfId="2" applyNumberFormat="1" applyFont="1" applyFill="1" applyBorder="1" applyAlignment="1"/>
    <xf numFmtId="15" fontId="14" fillId="0" borderId="27" xfId="1" applyNumberFormat="1" applyFont="1" applyBorder="1"/>
    <xf numFmtId="167" fontId="11" fillId="0" borderId="28" xfId="1" applyNumberFormat="1" applyFont="1" applyBorder="1"/>
    <xf numFmtId="0" fontId="14" fillId="0" borderId="24" xfId="1" applyFont="1" applyBorder="1"/>
    <xf numFmtId="168" fontId="11" fillId="0" borderId="0" xfId="1" applyNumberFormat="1" applyFont="1"/>
    <xf numFmtId="0" fontId="16" fillId="0" borderId="0" xfId="1" applyFont="1"/>
    <xf numFmtId="166" fontId="12" fillId="0" borderId="25" xfId="1" applyNumberFormat="1" applyFont="1" applyBorder="1"/>
    <xf numFmtId="0" fontId="17" fillId="0" borderId="0" xfId="0" applyFont="1" applyProtection="1">
      <protection locked="0"/>
    </xf>
    <xf numFmtId="0" fontId="11" fillId="0" borderId="24" xfId="1" applyFont="1" applyBorder="1"/>
    <xf numFmtId="168" fontId="11" fillId="0" borderId="0" xfId="3" applyNumberFormat="1" applyFont="1"/>
    <xf numFmtId="168" fontId="11" fillId="0" borderId="0" xfId="4" applyNumberFormat="1" applyFont="1"/>
    <xf numFmtId="4" fontId="11" fillId="0" borderId="0" xfId="1" applyNumberFormat="1" applyFont="1"/>
    <xf numFmtId="169" fontId="12" fillId="0" borderId="0" xfId="1" applyNumberFormat="1" applyFont="1"/>
    <xf numFmtId="168" fontId="11" fillId="0" borderId="27" xfId="1" applyNumberFormat="1" applyFont="1" applyBorder="1"/>
    <xf numFmtId="169" fontId="12" fillId="0" borderId="27" xfId="1" applyNumberFormat="1" applyFont="1" applyBorder="1"/>
    <xf numFmtId="166" fontId="12" fillId="0" borderId="28" xfId="1" applyNumberFormat="1" applyFont="1" applyBorder="1"/>
    <xf numFmtId="0" fontId="11" fillId="0" borderId="24" xfId="3" applyFont="1" applyBorder="1"/>
    <xf numFmtId="168" fontId="11" fillId="0" borderId="0" xfId="5" applyNumberFormat="1" applyFont="1" applyFill="1" applyBorder="1" applyAlignment="1"/>
    <xf numFmtId="167" fontId="11" fillId="0" borderId="0" xfId="5" applyNumberFormat="1" applyFont="1" applyFill="1" applyBorder="1" applyAlignment="1"/>
    <xf numFmtId="0" fontId="11" fillId="0" borderId="25" xfId="3" applyFont="1" applyBorder="1"/>
    <xf numFmtId="0" fontId="14" fillId="0" borderId="29" xfId="3" applyFont="1" applyBorder="1" applyProtection="1">
      <protection locked="0"/>
    </xf>
    <xf numFmtId="15" fontId="14" fillId="0" borderId="30" xfId="3" applyNumberFormat="1" applyFont="1" applyBorder="1" applyProtection="1">
      <protection locked="0"/>
    </xf>
    <xf numFmtId="168" fontId="14" fillId="0" borderId="30" xfId="3" applyNumberFormat="1" applyFont="1" applyBorder="1" applyProtection="1">
      <protection locked="0"/>
    </xf>
    <xf numFmtId="168" fontId="14" fillId="0" borderId="31" xfId="3" applyNumberFormat="1" applyFont="1" applyBorder="1" applyProtection="1">
      <protection locked="0"/>
    </xf>
    <xf numFmtId="0" fontId="14" fillId="0" borderId="24" xfId="3" applyFont="1" applyBorder="1" applyProtection="1">
      <protection locked="0"/>
    </xf>
    <xf numFmtId="15" fontId="14" fillId="0" borderId="0" xfId="3" applyNumberFormat="1" applyFont="1" applyProtection="1">
      <protection locked="0"/>
    </xf>
    <xf numFmtId="168" fontId="14" fillId="0" borderId="0" xfId="3" applyNumberFormat="1" applyFont="1" applyProtection="1">
      <protection locked="0"/>
    </xf>
    <xf numFmtId="168" fontId="14" fillId="0" borderId="25" xfId="3" applyNumberFormat="1" applyFont="1" applyBorder="1" applyProtection="1">
      <protection locked="0"/>
    </xf>
    <xf numFmtId="15" fontId="11" fillId="0" borderId="0" xfId="3" applyNumberFormat="1" applyFont="1" applyProtection="1">
      <protection locked="0"/>
    </xf>
    <xf numFmtId="168" fontId="11" fillId="0" borderId="0" xfId="3" applyNumberFormat="1" applyFont="1" applyProtection="1">
      <protection locked="0"/>
    </xf>
    <xf numFmtId="168" fontId="11" fillId="0" borderId="25" xfId="3" applyNumberFormat="1" applyFont="1" applyBorder="1" applyProtection="1">
      <protection locked="0"/>
    </xf>
    <xf numFmtId="0" fontId="11" fillId="0" borderId="26" xfId="3" applyFont="1" applyBorder="1"/>
    <xf numFmtId="15" fontId="11" fillId="0" borderId="27" xfId="3" applyNumberFormat="1" applyFont="1" applyBorder="1" applyProtection="1">
      <protection locked="0"/>
    </xf>
    <xf numFmtId="168" fontId="11" fillId="0" borderId="27" xfId="3" applyNumberFormat="1" applyFont="1" applyBorder="1" applyProtection="1">
      <protection locked="0"/>
    </xf>
    <xf numFmtId="168" fontId="11" fillId="0" borderId="28" xfId="3" applyNumberFormat="1" applyFont="1" applyBorder="1" applyProtection="1">
      <protection locked="0"/>
    </xf>
    <xf numFmtId="170" fontId="18" fillId="0" borderId="0" xfId="1" applyNumberFormat="1" applyFont="1"/>
    <xf numFmtId="0" fontId="11" fillId="0" borderId="24" xfId="6" applyFont="1" applyBorder="1"/>
  </cellXfs>
  <cellStyles count="7">
    <cellStyle name="Comma 3" xfId="5" xr:uid="{8CD9271D-A659-41A8-916B-A7C48EA49B64}"/>
    <cellStyle name="Comma 4" xfId="2" xr:uid="{321FC613-F41C-4615-B387-C19783446395}"/>
    <cellStyle name="Normal" xfId="0" builtinId="0"/>
    <cellStyle name="Normal 3 2 2" xfId="3" xr:uid="{B7D8C433-3D90-4A2C-9771-AADCFEEA877E}"/>
    <cellStyle name="Normal 3 2 3" xfId="4" xr:uid="{898EE080-0051-45A6-88D9-FB5513951531}"/>
    <cellStyle name="Normal 6" xfId="6" xr:uid="{C970CDEA-91E6-4197-84B7-5E6EF0AC5CCA}"/>
    <cellStyle name="Normal 7" xfId="1" xr:uid="{06E591DB-62DF-46CD-BD7A-C0B89BF6C3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E6AB2-1B40-496B-BAE7-042B1E6C3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725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628650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3AC452-3067-4B03-BA39-E3D184E09A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47256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9B2F-EEB0-43B9-8B61-648A7AAB0237}">
  <sheetPr codeName="Sheet24">
    <outlinePr summaryBelow="0"/>
  </sheetPr>
  <dimension ref="A1:H78"/>
  <sheetViews>
    <sheetView tabSelected="1" topLeftCell="A54" workbookViewId="0">
      <selection activeCell="D87" sqref="D87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33555000</v>
      </c>
      <c r="F8" s="17">
        <v>32891.85</v>
      </c>
      <c r="G8" s="18">
        <v>0.76219999999999999</v>
      </c>
      <c r="H8" s="19">
        <v>7.0784E-2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9025000</v>
      </c>
      <c r="F9" s="17">
        <v>8686.27</v>
      </c>
      <c r="G9" s="18">
        <v>0.20130000000000001</v>
      </c>
      <c r="H9" s="19">
        <v>7.0795999999999998E-2</v>
      </c>
    </row>
    <row r="10" spans="1:8" ht="12.95" customHeight="1">
      <c r="A10" s="3"/>
      <c r="B10" s="20" t="s">
        <v>20</v>
      </c>
      <c r="C10" s="21"/>
      <c r="D10" s="20"/>
      <c r="E10" s="20"/>
      <c r="F10" s="22">
        <v>41578.120000000003</v>
      </c>
      <c r="G10" s="23">
        <v>0.96350000000000002</v>
      </c>
      <c r="H10" s="24"/>
    </row>
    <row r="11" spans="1:8" ht="12.95" customHeight="1">
      <c r="A11" s="3"/>
      <c r="B11" s="10" t="s">
        <v>21</v>
      </c>
      <c r="C11" s="11"/>
      <c r="D11" s="25"/>
      <c r="E11" s="25"/>
      <c r="F11" s="26" t="s">
        <v>22</v>
      </c>
      <c r="G11" s="26" t="s">
        <v>22</v>
      </c>
      <c r="H11" s="24" t="s">
        <v>22</v>
      </c>
    </row>
    <row r="12" spans="1:8" ht="12.95" customHeight="1">
      <c r="A12" s="3"/>
      <c r="B12" s="21" t="s">
        <v>20</v>
      </c>
      <c r="C12" s="27"/>
      <c r="D12" s="25"/>
      <c r="E12" s="25"/>
      <c r="F12" s="26" t="s">
        <v>22</v>
      </c>
      <c r="G12" s="26" t="s">
        <v>22</v>
      </c>
      <c r="H12" s="24" t="s">
        <v>22</v>
      </c>
    </row>
    <row r="13" spans="1:8" ht="12.95" customHeight="1">
      <c r="A13" s="3"/>
      <c r="B13" s="20" t="s">
        <v>23</v>
      </c>
      <c r="C13" s="27"/>
      <c r="D13" s="25"/>
      <c r="E13" s="28"/>
      <c r="F13" s="29">
        <v>41578.120000000003</v>
      </c>
      <c r="G13" s="30">
        <v>0.96350000000000002</v>
      </c>
      <c r="H13" s="31"/>
    </row>
    <row r="14" spans="1:8" ht="12.95" customHeight="1">
      <c r="A14" s="3"/>
      <c r="B14" s="10" t="s">
        <v>24</v>
      </c>
      <c r="C14" s="11"/>
      <c r="D14" s="12"/>
      <c r="E14" s="12"/>
      <c r="F14" s="12"/>
      <c r="G14" s="12"/>
      <c r="H14" s="13"/>
    </row>
    <row r="15" spans="1:8" ht="12.95" customHeight="1">
      <c r="A15" s="3"/>
      <c r="B15" s="32" t="s">
        <v>25</v>
      </c>
      <c r="C15" s="11"/>
      <c r="D15" s="12"/>
      <c r="E15" s="12"/>
      <c r="F15" s="12"/>
      <c r="G15" s="12"/>
      <c r="H15" s="13"/>
    </row>
    <row r="16" spans="1:8" ht="12.95" customHeight="1">
      <c r="A16" s="14" t="s">
        <v>26</v>
      </c>
      <c r="B16" s="15" t="s">
        <v>27</v>
      </c>
      <c r="C16" s="11"/>
      <c r="D16" s="12"/>
      <c r="E16" s="33"/>
      <c r="F16" s="17">
        <v>1022.19</v>
      </c>
      <c r="G16" s="18">
        <v>2.3699999999999999E-2</v>
      </c>
      <c r="H16" s="19">
        <v>6.1523233329632089E-2</v>
      </c>
    </row>
    <row r="17" spans="1:8" ht="12.95" customHeight="1">
      <c r="A17" s="3"/>
      <c r="B17" s="20" t="s">
        <v>23</v>
      </c>
      <c r="C17" s="27"/>
      <c r="D17" s="25"/>
      <c r="E17" s="28"/>
      <c r="F17" s="29">
        <v>1022.19</v>
      </c>
      <c r="G17" s="30">
        <v>2.3699999999999999E-2</v>
      </c>
      <c r="H17" s="31"/>
    </row>
    <row r="18" spans="1:8" ht="12.95" customHeight="1">
      <c r="A18" s="3"/>
      <c r="B18" s="32" t="s">
        <v>28</v>
      </c>
      <c r="C18" s="34"/>
      <c r="D18" s="35"/>
      <c r="E18" s="35"/>
      <c r="F18" s="35"/>
      <c r="G18" s="35"/>
      <c r="H18" s="36"/>
    </row>
    <row r="19" spans="1:8" ht="12.95" customHeight="1">
      <c r="A19" s="3"/>
      <c r="B19" s="25" t="s">
        <v>29</v>
      </c>
      <c r="C19" s="27"/>
      <c r="D19" s="25"/>
      <c r="E19" s="25"/>
      <c r="F19" s="22">
        <v>0.03</v>
      </c>
      <c r="G19" s="37" t="s">
        <v>30</v>
      </c>
      <c r="H19" s="36"/>
    </row>
    <row r="20" spans="1:8" ht="12.95" customHeight="1">
      <c r="A20" s="3"/>
      <c r="B20" s="20" t="s">
        <v>20</v>
      </c>
      <c r="C20" s="21"/>
      <c r="D20" s="20"/>
      <c r="E20" s="20"/>
      <c r="F20" s="22">
        <v>0.03</v>
      </c>
      <c r="G20" s="37" t="s">
        <v>30</v>
      </c>
      <c r="H20" s="36"/>
    </row>
    <row r="21" spans="1:8" ht="12.95" customHeight="1">
      <c r="A21" s="3"/>
      <c r="B21" s="20" t="s">
        <v>31</v>
      </c>
      <c r="C21" s="27"/>
      <c r="D21" s="25"/>
      <c r="E21" s="25"/>
      <c r="F21" s="22">
        <v>555.54999999999995</v>
      </c>
      <c r="G21" s="38">
        <v>1.2800000000000001E-2</v>
      </c>
      <c r="H21" s="36"/>
    </row>
    <row r="22" spans="1:8" ht="12.95" customHeight="1" thickBot="1">
      <c r="A22" s="3"/>
      <c r="B22" s="39" t="s">
        <v>32</v>
      </c>
      <c r="C22" s="40"/>
      <c r="D22" s="41"/>
      <c r="E22" s="41"/>
      <c r="F22" s="42">
        <v>43155.8864254</v>
      </c>
      <c r="G22" s="43">
        <v>1</v>
      </c>
      <c r="H22" s="44"/>
    </row>
    <row r="24" spans="1:8">
      <c r="B24" s="45" t="s">
        <v>33</v>
      </c>
    </row>
    <row r="26" spans="1:8">
      <c r="B26" s="46" t="s">
        <v>34</v>
      </c>
      <c r="C26" s="3"/>
    </row>
    <row r="27" spans="1:8">
      <c r="B27" s="47" t="s">
        <v>35</v>
      </c>
      <c r="C27" s="47" t="s">
        <v>8</v>
      </c>
    </row>
    <row r="28" spans="1:8">
      <c r="B28" s="47" t="s">
        <v>36</v>
      </c>
      <c r="C28" s="48"/>
    </row>
    <row r="29" spans="1:8">
      <c r="B29" s="48" t="s">
        <v>37</v>
      </c>
      <c r="C29" s="49">
        <f>G8</f>
        <v>0.76219999999999999</v>
      </c>
    </row>
    <row r="30" spans="1:8">
      <c r="B30" s="48" t="s">
        <v>38</v>
      </c>
      <c r="C30" s="49">
        <f>G9</f>
        <v>0.20130000000000001</v>
      </c>
    </row>
    <row r="31" spans="1:8">
      <c r="B31" s="48"/>
      <c r="C31" s="49"/>
    </row>
    <row r="32" spans="1:8">
      <c r="B32" s="50" t="s">
        <v>23</v>
      </c>
      <c r="C32" s="51">
        <f>SUM(C29:C31)</f>
        <v>0.96350000000000002</v>
      </c>
    </row>
    <row r="33" spans="2:3">
      <c r="B33" s="50"/>
      <c r="C33" s="51"/>
    </row>
    <row r="35" spans="2:3">
      <c r="B35" s="47" t="s">
        <v>39</v>
      </c>
      <c r="C35" s="48"/>
    </row>
    <row r="36" spans="2:3">
      <c r="B36" s="48" t="s">
        <v>40</v>
      </c>
      <c r="C36" s="49">
        <f>G17</f>
        <v>2.3699999999999999E-2</v>
      </c>
    </row>
    <row r="37" spans="2:3">
      <c r="B37" s="47" t="s">
        <v>23</v>
      </c>
      <c r="C37" s="51">
        <f>SUM(C36)</f>
        <v>2.3699999999999999E-2</v>
      </c>
    </row>
    <row r="39" spans="2:3">
      <c r="B39" s="46" t="s">
        <v>41</v>
      </c>
    </row>
    <row r="40" spans="2:3">
      <c r="B40" s="47" t="s">
        <v>42</v>
      </c>
      <c r="C40" s="47" t="s">
        <v>8</v>
      </c>
    </row>
    <row r="41" spans="2:3">
      <c r="B41" s="48" t="s">
        <v>36</v>
      </c>
      <c r="C41" s="49">
        <f>C32</f>
        <v>0.96350000000000002</v>
      </c>
    </row>
    <row r="42" spans="2:3">
      <c r="B42" s="48" t="s">
        <v>39</v>
      </c>
      <c r="C42" s="49">
        <f>C37</f>
        <v>2.3699999999999999E-2</v>
      </c>
    </row>
    <row r="44" spans="2:3">
      <c r="B44" s="46" t="s">
        <v>43</v>
      </c>
    </row>
    <row r="45" spans="2:3">
      <c r="B45" s="47" t="s">
        <v>44</v>
      </c>
      <c r="C45" s="47" t="s">
        <v>8</v>
      </c>
    </row>
    <row r="46" spans="2:3">
      <c r="B46" s="48" t="s">
        <v>36</v>
      </c>
      <c r="C46" s="49">
        <f>C41</f>
        <v>0.96350000000000002</v>
      </c>
    </row>
    <row r="47" spans="2:3">
      <c r="B47" s="48" t="s">
        <v>39</v>
      </c>
      <c r="C47" s="49">
        <f>C42</f>
        <v>2.3699999999999999E-2</v>
      </c>
    </row>
    <row r="48" spans="2:3" ht="15.75" thickBot="1"/>
    <row r="49" spans="1:6">
      <c r="B49" s="52" t="s">
        <v>45</v>
      </c>
      <c r="C49" s="53"/>
      <c r="D49" s="53"/>
      <c r="E49" s="54"/>
      <c r="F49" s="55"/>
    </row>
    <row r="50" spans="1:6">
      <c r="B50" s="56" t="s">
        <v>46</v>
      </c>
      <c r="C50" s="57"/>
      <c r="D50" s="57"/>
      <c r="E50" s="57"/>
      <c r="F50" s="58"/>
    </row>
    <row r="51" spans="1:6">
      <c r="B51" s="59" t="s">
        <v>47</v>
      </c>
      <c r="C51" s="57"/>
      <c r="D51" s="57"/>
      <c r="E51" s="60"/>
      <c r="F51" s="58"/>
    </row>
    <row r="52" spans="1:6" ht="15.75" thickBot="1">
      <c r="B52" s="61" t="s">
        <v>48</v>
      </c>
      <c r="C52" s="62"/>
      <c r="D52" s="62"/>
      <c r="E52" s="62"/>
      <c r="F52" s="63"/>
    </row>
    <row r="53" spans="1:6">
      <c r="B53" s="64" t="s">
        <v>49</v>
      </c>
      <c r="C53" s="65" t="s">
        <v>50</v>
      </c>
      <c r="D53" s="65"/>
      <c r="E53" s="66"/>
      <c r="F53" s="67"/>
    </row>
    <row r="54" spans="1:6" ht="15.75" thickBot="1">
      <c r="B54" s="68"/>
      <c r="C54" s="69">
        <v>46112</v>
      </c>
      <c r="D54" s="70">
        <v>45930</v>
      </c>
      <c r="E54" s="70"/>
      <c r="F54" s="71"/>
    </row>
    <row r="55" spans="1:6">
      <c r="B55" s="72" t="s">
        <v>51</v>
      </c>
      <c r="C55" s="73"/>
      <c r="D55" s="73"/>
      <c r="E55" s="74"/>
      <c r="F55" s="75"/>
    </row>
    <row r="56" spans="1:6">
      <c r="A56" s="76" t="s">
        <v>52</v>
      </c>
      <c r="B56" s="77" t="s">
        <v>53</v>
      </c>
      <c r="C56" s="78">
        <v>12.5251</v>
      </c>
      <c r="D56" s="78">
        <v>12.4322</v>
      </c>
      <c r="E56" s="74"/>
      <c r="F56" s="75"/>
    </row>
    <row r="57" spans="1:6">
      <c r="A57" s="76" t="s">
        <v>54</v>
      </c>
      <c r="B57" s="77" t="s">
        <v>55</v>
      </c>
      <c r="C57" s="78">
        <v>10.542</v>
      </c>
      <c r="D57" s="78">
        <v>10.7257</v>
      </c>
      <c r="E57" s="74"/>
      <c r="F57" s="75"/>
    </row>
    <row r="58" spans="1:6">
      <c r="A58" s="76"/>
      <c r="B58" s="77"/>
      <c r="C58" s="79"/>
      <c r="D58" s="79"/>
      <c r="E58" s="74"/>
      <c r="F58" s="75"/>
    </row>
    <row r="59" spans="1:6">
      <c r="A59" s="76"/>
      <c r="B59" s="72" t="s">
        <v>56</v>
      </c>
      <c r="C59" s="79"/>
      <c r="D59" s="79"/>
      <c r="E59" s="74"/>
      <c r="F59" s="75"/>
    </row>
    <row r="60" spans="1:6">
      <c r="A60" s="76" t="s">
        <v>57</v>
      </c>
      <c r="B60" s="77" t="s">
        <v>53</v>
      </c>
      <c r="C60" s="78">
        <v>12.624599999999999</v>
      </c>
      <c r="D60" s="78">
        <v>12.514699999999999</v>
      </c>
      <c r="E60" s="74"/>
      <c r="F60" s="75"/>
    </row>
    <row r="61" spans="1:6">
      <c r="A61" s="76" t="s">
        <v>58</v>
      </c>
      <c r="B61" s="77" t="s">
        <v>55</v>
      </c>
      <c r="C61" s="78">
        <v>10.7006</v>
      </c>
      <c r="D61" s="78">
        <v>10.8848</v>
      </c>
      <c r="E61" s="74"/>
      <c r="F61" s="75"/>
    </row>
    <row r="62" spans="1:6">
      <c r="B62" s="77" t="s">
        <v>59</v>
      </c>
      <c r="C62" s="80"/>
      <c r="D62" s="73"/>
      <c r="E62" s="81"/>
      <c r="F62" s="75"/>
    </row>
    <row r="63" spans="1:6" ht="15.75" thickBot="1">
      <c r="B63" s="61"/>
      <c r="C63" s="82"/>
      <c r="D63" s="82"/>
      <c r="E63" s="83"/>
      <c r="F63" s="84"/>
    </row>
    <row r="64" spans="1:6">
      <c r="B64" s="77"/>
      <c r="C64" s="73"/>
      <c r="D64" s="73"/>
      <c r="E64" s="81"/>
      <c r="F64" s="75"/>
    </row>
    <row r="65" spans="2:6" ht="15.75" thickBot="1">
      <c r="B65" s="85" t="s">
        <v>60</v>
      </c>
      <c r="C65" s="86"/>
      <c r="D65" s="78"/>
      <c r="E65" s="87"/>
      <c r="F65" s="88"/>
    </row>
    <row r="66" spans="2:6" ht="15.75" thickBot="1">
      <c r="B66" s="89" t="s">
        <v>61</v>
      </c>
      <c r="C66" s="90" t="s">
        <v>62</v>
      </c>
      <c r="D66" s="91" t="s">
        <v>63</v>
      </c>
      <c r="E66" s="91" t="s">
        <v>64</v>
      </c>
      <c r="F66" s="92" t="s">
        <v>65</v>
      </c>
    </row>
    <row r="67" spans="2:6">
      <c r="B67" s="93"/>
      <c r="C67" s="94"/>
      <c r="D67" s="95"/>
      <c r="E67" s="95"/>
      <c r="F67" s="96"/>
    </row>
    <row r="68" spans="2:6">
      <c r="B68" s="77" t="s">
        <v>66</v>
      </c>
      <c r="C68" s="97">
        <v>46105</v>
      </c>
      <c r="D68" s="98">
        <v>0.28639999999999999</v>
      </c>
      <c r="E68" s="98">
        <v>0.28639999999999999</v>
      </c>
      <c r="F68" s="99">
        <v>11.085599999999999</v>
      </c>
    </row>
    <row r="69" spans="2:6">
      <c r="B69" s="77" t="s">
        <v>67</v>
      </c>
      <c r="C69" s="97">
        <v>46105</v>
      </c>
      <c r="D69" s="98">
        <v>0.26640000000000003</v>
      </c>
      <c r="E69" s="98">
        <v>0.26640000000000003</v>
      </c>
      <c r="F69" s="99">
        <v>10.9061</v>
      </c>
    </row>
    <row r="70" spans="2:6" ht="15.75" thickBot="1">
      <c r="B70" s="100"/>
      <c r="C70" s="101"/>
      <c r="D70" s="102"/>
      <c r="E70" s="102"/>
      <c r="F70" s="103"/>
    </row>
    <row r="71" spans="2:6">
      <c r="B71" s="77" t="s">
        <v>68</v>
      </c>
      <c r="C71" s="57"/>
      <c r="D71" s="73"/>
      <c r="E71" s="60"/>
      <c r="F71" s="75"/>
    </row>
    <row r="72" spans="2:6">
      <c r="B72" s="77" t="s">
        <v>69</v>
      </c>
      <c r="C72" s="57"/>
      <c r="D72" s="104"/>
      <c r="E72" s="60"/>
      <c r="F72" s="75"/>
    </row>
    <row r="73" spans="2:6">
      <c r="B73" s="105" t="s">
        <v>70</v>
      </c>
      <c r="C73" s="57"/>
      <c r="D73" s="104"/>
      <c r="E73" s="60"/>
      <c r="F73" s="75"/>
    </row>
    <row r="74" spans="2:6">
      <c r="B74" s="77" t="s">
        <v>71</v>
      </c>
      <c r="C74" s="57"/>
      <c r="D74" s="57"/>
      <c r="E74" s="57"/>
      <c r="F74" s="58"/>
    </row>
    <row r="75" spans="2:6">
      <c r="B75" s="77" t="s">
        <v>72</v>
      </c>
      <c r="C75" s="57"/>
      <c r="D75" s="57"/>
      <c r="E75" s="57"/>
      <c r="F75" s="58"/>
    </row>
    <row r="76" spans="2:6" ht="15.75" thickBot="1">
      <c r="B76" s="61"/>
      <c r="C76" s="62"/>
      <c r="D76" s="62"/>
      <c r="E76" s="62"/>
      <c r="F76" s="63"/>
    </row>
    <row r="77" spans="2:6">
      <c r="F77" s="45" t="s">
        <v>73</v>
      </c>
    </row>
    <row r="78" spans="2:6">
      <c r="B78" s="45" t="s">
        <v>74</v>
      </c>
      <c r="F78" s="45" t="s">
        <v>75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IDF289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2026-04-08T13:13:33Z</dcterms:created>
  <dcterms:modified xsi:type="dcterms:W3CDTF">2026-04-08T13:13:35Z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2026-04-08T13:13:35Z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3883426b-803f-4814-ae26-c99f2df9df41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