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202300"/>
  <xr:revisionPtr revIDLastSave="0" documentId="13_ncr:1_{2C6AF5AE-9EFC-42C5-A62B-33B971934B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PFCF" sheetId="11" r:id="rId1"/>
    <sheet name="PPLF" sheetId="3" r:id="rId2"/>
    <sheet name="PPTSF" sheetId="4" r:id="rId3"/>
    <sheet name="PPCHF" sheetId="6" r:id="rId4"/>
    <sheet name="PPAF" sheetId="7" r:id="rId5"/>
    <sheet name="PPDAAF" sheetId="8" r:id="rId6"/>
    <sheet name="PPLCF" sheetId="12" r:id="rId7"/>
  </sheets>
  <definedNames>
    <definedName name="_xlnm._FilterDatabase" localSheetId="4" hidden="1">PPAF!$B$115:$F$187</definedName>
    <definedName name="_xlnm._FilterDatabase" localSheetId="3" hidden="1">PPCHF!$B$147:$G$150</definedName>
    <definedName name="_xlnm._FilterDatabase" localSheetId="5" hidden="1">PPDAAF!$B$148:$F$172</definedName>
    <definedName name="_xlnm._FilterDatabase" localSheetId="0" hidden="1">PPFCF!$B$155:$G$161</definedName>
    <definedName name="JR_PAGE_ANCHOR_0_1">#REF!</definedName>
    <definedName name="JR_PAGE_ANCHOR_0_10" localSheetId="6">PPLCF!$A$1</definedName>
    <definedName name="JR_PAGE_ANCHOR_0_10">#REF!</definedName>
    <definedName name="JR_PAGE_ANCHOR_0_2" localSheetId="0">PPFCF!$A$1</definedName>
    <definedName name="JR_PAGE_ANCHOR_0_2">#REF!</definedName>
    <definedName name="JR_PAGE_ANCHOR_0_3">PPLF!$A$1</definedName>
    <definedName name="JR_PAGE_ANCHOR_0_4">PPTSF!$A$1</definedName>
    <definedName name="JR_PAGE_ANCHOR_0_5">#REF!</definedName>
    <definedName name="JR_PAGE_ANCHOR_0_6">PPCHF!$A$1</definedName>
    <definedName name="JR_PAGE_ANCHOR_0_7">PPAF!$A$1</definedName>
    <definedName name="JR_PAGE_ANCHOR_0_8">PPDAAF!$A$1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" i="11" l="1"/>
  <c r="F150" i="11"/>
  <c r="C215" i="8"/>
  <c r="C223" i="8" s="1"/>
  <c r="C213" i="8"/>
  <c r="C216" i="8" s="1"/>
  <c r="C222" i="8" s="1"/>
  <c r="C212" i="8"/>
  <c r="F14" i="6"/>
  <c r="G14" i="6"/>
  <c r="F20" i="6"/>
  <c r="F44" i="8"/>
  <c r="G17" i="8"/>
  <c r="F17" i="8"/>
  <c r="F118" i="6"/>
  <c r="F25" i="6"/>
  <c r="G118" i="6"/>
  <c r="G25" i="6"/>
  <c r="G143" i="8"/>
  <c r="F143" i="8"/>
  <c r="G110" i="7"/>
  <c r="F110" i="7"/>
  <c r="G142" i="6"/>
  <c r="F142" i="6"/>
  <c r="C221" i="8" l="1"/>
  <c r="C217" i="8"/>
  <c r="C225" i="8" s="1"/>
</calcChain>
</file>

<file path=xl/sharedStrings.xml><?xml version="1.0" encoding="utf-8"?>
<sst xmlns="http://schemas.openxmlformats.org/spreadsheetml/2006/main" count="4141" uniqueCount="1728">
  <si>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</si>
  <si>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</si>
  <si>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</si>
  <si>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</si>
  <si>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</si>
  <si>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</si>
  <si>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</si>
  <si>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</si>
  <si>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</si>
  <si>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</si>
  <si>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</si>
  <si>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</si>
  <si>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</si>
  <si>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</si>
  <si>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</si>
  <si>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</si>
  <si>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PGCI01</t>
  </si>
  <si>
    <t>Power Grid Corporation of India Limited</t>
  </si>
  <si>
    <t>INE752E01010</t>
  </si>
  <si>
    <t>Power</t>
  </si>
  <si>
    <t>COAL01</t>
  </si>
  <si>
    <t>Coal India Limited</t>
  </si>
  <si>
    <t>INE522F01014</t>
  </si>
  <si>
    <t>Consumable Fuels</t>
  </si>
  <si>
    <t>IBCL05</t>
  </si>
  <si>
    <t>ICICI Bank Limited</t>
  </si>
  <si>
    <t>INE090A01021</t>
  </si>
  <si>
    <t>ITCL02</t>
  </si>
  <si>
    <t>ITC Limited</t>
  </si>
  <si>
    <t>INE154A01025</t>
  </si>
  <si>
    <t>Diversified FMCG</t>
  </si>
  <si>
    <t>BAJA01</t>
  </si>
  <si>
    <t>Bajaj Holdings &amp; Investment Limited</t>
  </si>
  <si>
    <t>INE118A01012</t>
  </si>
  <si>
    <t>Finance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</si>
  <si>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</si>
  <si>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</si>
  <si>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</si>
  <si>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</si>
  <si>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</si>
  <si>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</si>
  <si>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</si>
  <si>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HCLT02</t>
  </si>
  <si>
    <t>HCL Technologies Limited</t>
  </si>
  <si>
    <t>INE860A01027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</si>
  <si>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</si>
  <si>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</si>
  <si>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</si>
  <si>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</si>
  <si>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</si>
  <si>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</si>
  <si>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</si>
  <si>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</si>
  <si>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</si>
  <si>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</si>
  <si>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</si>
  <si>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INFS02</t>
  </si>
  <si>
    <t>Infosys Limited</t>
  </si>
  <si>
    <t>INE009A01021</t>
  </si>
  <si>
    <t>TCSL01</t>
  </si>
  <si>
    <t>Tata Consultancy Services Limited</t>
  </si>
  <si>
    <t>INE467B01029</t>
  </si>
  <si>
    <t>DRRL03</t>
  </si>
  <si>
    <t>Dr. Reddy's Laboratories Limited</t>
  </si>
  <si>
    <t>INE089A01031</t>
  </si>
  <si>
    <t>Pharmaceuticals &amp; Biotechnology</t>
  </si>
  <si>
    <t>CHEL02</t>
  </si>
  <si>
    <t>Zydus Lifesciences Limited</t>
  </si>
  <si>
    <t>INE010B01027</t>
  </si>
  <si>
    <t>CIPL03</t>
  </si>
  <si>
    <t>Cipla Limited</t>
  </si>
  <si>
    <t>INE059A01026</t>
  </si>
  <si>
    <t>CNAF02</t>
  </si>
  <si>
    <t>Zydus Wellness Limited</t>
  </si>
  <si>
    <t>INE768C01028</t>
  </si>
  <si>
    <t>Food Products</t>
  </si>
  <si>
    <t>IEEL02</t>
  </si>
  <si>
    <t>Indian Energy Exchange Limited</t>
  </si>
  <si>
    <t>INE022Q01020</t>
  </si>
  <si>
    <t>Capital Markets</t>
  </si>
  <si>
    <t>EIDP03</t>
  </si>
  <si>
    <t>EID Parry India Limited</t>
  </si>
  <si>
    <t>INE126A01031</t>
  </si>
  <si>
    <t>BALI02</t>
  </si>
  <si>
    <t>Balkrishna Industries Limited</t>
  </si>
  <si>
    <t>INE787D01026</t>
  </si>
  <si>
    <t>Auto Components</t>
  </si>
  <si>
    <t>NAHR01</t>
  </si>
  <si>
    <t>Narayana Hrudayalaya Limited</t>
  </si>
  <si>
    <t>INE410P01011</t>
  </si>
  <si>
    <t>Healthcare Services</t>
  </si>
  <si>
    <t>GREA03</t>
  </si>
  <si>
    <t>The Great Eastern Shipping Company Limited</t>
  </si>
  <si>
    <t>INE017A01032</t>
  </si>
  <si>
    <t>Transport Services</t>
  </si>
  <si>
    <t>CDSL01</t>
  </si>
  <si>
    <t>Central Depository Services (India) Limited</t>
  </si>
  <si>
    <t>INE736A01011</t>
  </si>
  <si>
    <t>CMSI01</t>
  </si>
  <si>
    <t>CMS Info System Limited</t>
  </si>
  <si>
    <t>INE925R01014</t>
  </si>
  <si>
    <t>Commercial Services &amp; Supplies</t>
  </si>
  <si>
    <t>ICRA01</t>
  </si>
  <si>
    <t>ICRA Limited</t>
  </si>
  <si>
    <t>INE725G01011</t>
  </si>
  <si>
    <t>MASC01</t>
  </si>
  <si>
    <t>Maharashtra Scooters Limited</t>
  </si>
  <si>
    <t>INE288A01013</t>
  </si>
  <si>
    <t>BINL01</t>
  </si>
  <si>
    <t>Indus Towers Limited</t>
  </si>
  <si>
    <t>INE121J01017</t>
  </si>
  <si>
    <t>MAAU01</t>
  </si>
  <si>
    <t>CIE Automotive India Limited</t>
  </si>
  <si>
    <t>INE536H01010</t>
  </si>
  <si>
    <t>SWEN01</t>
  </si>
  <si>
    <t>Swaraj Engines Limited</t>
  </si>
  <si>
    <t>INE277A01016</t>
  </si>
  <si>
    <t>Industrial Products</t>
  </si>
  <si>
    <t>NESC02</t>
  </si>
  <si>
    <t>Nesco Limited</t>
  </si>
  <si>
    <t>INE317F01035</t>
  </si>
  <si>
    <t>IGAS02</t>
  </si>
  <si>
    <t>Indraprastha Gas Limited</t>
  </si>
  <si>
    <t>INE203G01027</t>
  </si>
  <si>
    <t>Gas</t>
  </si>
  <si>
    <t>MAGL01</t>
  </si>
  <si>
    <t>Mahanagar Gas Limited</t>
  </si>
  <si>
    <t>INE002S01010</t>
  </si>
  <si>
    <t>Sub Total</t>
  </si>
  <si>
    <t>Arbitrage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</si>
  <si>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</si>
  <si>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</si>
  <si>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</si>
  <si>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</si>
  <si>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</si>
  <si>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</si>
  <si>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</si>
  <si>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</si>
  <si>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</si>
  <si>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</si>
  <si>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</si>
  <si>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</si>
  <si>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</si>
  <si>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</si>
  <si>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</si>
  <si>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</si>
  <si>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</si>
  <si>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</si>
  <si>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</si>
  <si>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</si>
  <si>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</si>
  <si>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</si>
  <si>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</si>
  <si>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</si>
  <si>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</si>
  <si>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</si>
  <si>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</si>
  <si>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</si>
  <si>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</si>
  <si>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</si>
  <si>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MEBP01</t>
  </si>
  <si>
    <t>Mindspace Business Parks REIT</t>
  </si>
  <si>
    <t>INE0CCU25019</t>
  </si>
  <si>
    <t>(c) Unlisted</t>
  </si>
  <si>
    <t>NIL</t>
  </si>
  <si>
    <t>Total</t>
  </si>
  <si>
    <t>Equity &amp; Equity related Foreign Investments</t>
  </si>
  <si>
    <t>29798540USD</t>
  </si>
  <si>
    <t>Alphabet Inc A</t>
  </si>
  <si>
    <t>US02079K3059</t>
  </si>
  <si>
    <t>14971609USD</t>
  </si>
  <si>
    <t>Meta Platforms Registered Shares A</t>
  </si>
  <si>
    <t>US30303M1027</t>
  </si>
  <si>
    <t>645156USD</t>
  </si>
  <si>
    <t>Amazon Com Inc</t>
  </si>
  <si>
    <t>US0231351067</t>
  </si>
  <si>
    <t>951692USD</t>
  </si>
  <si>
    <t>Microsoft Corp</t>
  </si>
  <si>
    <t>US5949181045</t>
  </si>
  <si>
    <t>Derivatives</t>
  </si>
  <si>
    <t>Index / Stock Futures</t>
  </si>
  <si>
    <t>BHELAPR26</t>
  </si>
  <si>
    <t>Bharat Electronics Limited April 2026 Future</t>
  </si>
  <si>
    <t xml:space="preserve"> </t>
  </si>
  <si>
    <t>IIBLAPR26</t>
  </si>
  <si>
    <t>IndusInd Bank Limited April 2026 Future</t>
  </si>
  <si>
    <t>HINIAPR26</t>
  </si>
  <si>
    <t>Hindalco Industries Limited April 2026 Future</t>
  </si>
  <si>
    <t>SPILAPR26</t>
  </si>
  <si>
    <t>Sun Pharmaceutical Industries Limited April 2026 Future</t>
  </si>
  <si>
    <t>TWATAPR26</t>
  </si>
  <si>
    <t>Titan Company Limited April 2026 Future</t>
  </si>
  <si>
    <t>RINDAPR26</t>
  </si>
  <si>
    <t>Reliance Industries Limited April 2026 Future</t>
  </si>
  <si>
    <t>Money Market Instruments</t>
  </si>
  <si>
    <t>Certificate of Deposit</t>
  </si>
  <si>
    <t>KMBK889</t>
  </si>
  <si>
    <t>INE237AD6042</t>
  </si>
  <si>
    <t>CRISIL A1+</t>
  </si>
  <si>
    <t>UTIB1369</t>
  </si>
  <si>
    <t>INE238AD6BD9</t>
  </si>
  <si>
    <t>BKBA537</t>
  </si>
  <si>
    <t>INE028A16KC6</t>
  </si>
  <si>
    <t>CANB1067</t>
  </si>
  <si>
    <t>INE476A16E20</t>
  </si>
  <si>
    <t>UNBI444</t>
  </si>
  <si>
    <t>INE692A16JQ1</t>
  </si>
  <si>
    <t>ICRA A1+</t>
  </si>
  <si>
    <t>HDFB1013</t>
  </si>
  <si>
    <t>INE040A16HL8</t>
  </si>
  <si>
    <t>NBAR865</t>
  </si>
  <si>
    <t>INE261F16AB5</t>
  </si>
  <si>
    <t>KMBK893</t>
  </si>
  <si>
    <t>INE237AD6109</t>
  </si>
  <si>
    <t>SIDB604</t>
  </si>
  <si>
    <t>INE556F16BH3</t>
  </si>
  <si>
    <t>CANB1078</t>
  </si>
  <si>
    <t>INE476A16F78</t>
  </si>
  <si>
    <t>HDFB1006</t>
  </si>
  <si>
    <t>INE040A16HB9</t>
  </si>
  <si>
    <t>CANB1068</t>
  </si>
  <si>
    <t>INE476A16E38</t>
  </si>
  <si>
    <t>UNBI459</t>
  </si>
  <si>
    <t>INE692A16KP1</t>
  </si>
  <si>
    <t>INBK489</t>
  </si>
  <si>
    <t>INE562A16PB5</t>
  </si>
  <si>
    <t>BKBA519</t>
  </si>
  <si>
    <t>INE028A16JF1</t>
  </si>
  <si>
    <t>UTIB1357</t>
  </si>
  <si>
    <t>INE238AD6AT7</t>
  </si>
  <si>
    <t>INBK492</t>
  </si>
  <si>
    <t>INE562A16PE9</t>
  </si>
  <si>
    <t>SIDB618</t>
  </si>
  <si>
    <t>INE556F16BK7</t>
  </si>
  <si>
    <t>SIDB619</t>
  </si>
  <si>
    <t>INE556F16BL5</t>
  </si>
  <si>
    <t>INBK507</t>
  </si>
  <si>
    <t>INE562A16PU5</t>
  </si>
  <si>
    <t>INBK516</t>
  </si>
  <si>
    <t>INE562A16QG2</t>
  </si>
  <si>
    <t>BKBA541</t>
  </si>
  <si>
    <t>INE028A16KE2</t>
  </si>
  <si>
    <t>NBAR871</t>
  </si>
  <si>
    <t>INE261F16AE9</t>
  </si>
  <si>
    <t>PUBA1144</t>
  </si>
  <si>
    <t>INE160A16UE2</t>
  </si>
  <si>
    <t>NBAR870</t>
  </si>
  <si>
    <t>INE261F16AD1</t>
  </si>
  <si>
    <t>INBK477</t>
  </si>
  <si>
    <t>INE562A16OS2</t>
  </si>
  <si>
    <t>HDFB1016</t>
  </si>
  <si>
    <t>INE040A16HP9</t>
  </si>
  <si>
    <t>CARE A1+</t>
  </si>
  <si>
    <t>PUBA1138</t>
  </si>
  <si>
    <t>INE160A16TZ9</t>
  </si>
  <si>
    <t>BKBA559</t>
  </si>
  <si>
    <t>INE028A16KW4</t>
  </si>
  <si>
    <t>KMBK894</t>
  </si>
  <si>
    <t>INE237AD6117</t>
  </si>
  <si>
    <t>IBCL1180</t>
  </si>
  <si>
    <t>INE090AD6279</t>
  </si>
  <si>
    <t>UTIB1363</t>
  </si>
  <si>
    <t>INE238AD6AZ4</t>
  </si>
  <si>
    <t>BKBA548</t>
  </si>
  <si>
    <t>INE028A16KK9</t>
  </si>
  <si>
    <t>SIDB642</t>
  </si>
  <si>
    <t>INE556F16BT8</t>
  </si>
  <si>
    <t>UNBI469</t>
  </si>
  <si>
    <t>INE692A16KX5</t>
  </si>
  <si>
    <t>INBK525</t>
  </si>
  <si>
    <t>INE562A16QQ1</t>
  </si>
  <si>
    <t>INBK512</t>
  </si>
  <si>
    <t>INE562A16PZ4</t>
  </si>
  <si>
    <t>SIDB611</t>
  </si>
  <si>
    <t>INE556F16BJ9</t>
  </si>
  <si>
    <t>NBAR872</t>
  </si>
  <si>
    <t>INE261F16AF6</t>
  </si>
  <si>
    <t>NBAR874</t>
  </si>
  <si>
    <t>INE261F16AH2</t>
  </si>
  <si>
    <t>HDFB1002</t>
  </si>
  <si>
    <t>INE040A16GW7</t>
  </si>
  <si>
    <t>BKBA530</t>
  </si>
  <si>
    <t>INE028A16JR6</t>
  </si>
  <si>
    <t>CANB1087</t>
  </si>
  <si>
    <t>INE476A16F52</t>
  </si>
  <si>
    <t>UTIB1367</t>
  </si>
  <si>
    <t>INE238AD6BC1</t>
  </si>
  <si>
    <t>HDFB1031</t>
  </si>
  <si>
    <t>INE040A16HR5</t>
  </si>
  <si>
    <t>SIDB630</t>
  </si>
  <si>
    <t>INE556F16BR2</t>
  </si>
  <si>
    <t>HDFB1022</t>
  </si>
  <si>
    <t>INE040A16HW5</t>
  </si>
  <si>
    <t>HDFB1034</t>
  </si>
  <si>
    <t>INE040A16IK8</t>
  </si>
  <si>
    <t>BKBA574</t>
  </si>
  <si>
    <t>INE028A16LQ4</t>
  </si>
  <si>
    <t>UTIB1381</t>
  </si>
  <si>
    <t>INE238AD6BP3</t>
  </si>
  <si>
    <t>NBAR876</t>
  </si>
  <si>
    <t>INE261F16AJ8</t>
  </si>
  <si>
    <t>Commercial Paper</t>
  </si>
  <si>
    <t>NBAR861</t>
  </si>
  <si>
    <t>INE261F14OH8</t>
  </si>
  <si>
    <t>BAFL981</t>
  </si>
  <si>
    <t>INE296A14A81</t>
  </si>
  <si>
    <t>BAFL975</t>
  </si>
  <si>
    <t>INE296A14A32</t>
  </si>
  <si>
    <t>BAFL978</t>
  </si>
  <si>
    <t>INE296A14A73</t>
  </si>
  <si>
    <t>ICBR637</t>
  </si>
  <si>
    <t>INE763G14C53</t>
  </si>
  <si>
    <t>BAFL976</t>
  </si>
  <si>
    <t>INE296A14A40</t>
  </si>
  <si>
    <t>HDFS341</t>
  </si>
  <si>
    <t>INE700G14SA9</t>
  </si>
  <si>
    <t>HDFS344</t>
  </si>
  <si>
    <t>INE700G14SJ0</t>
  </si>
  <si>
    <t>EXIM819</t>
  </si>
  <si>
    <t>INE514E14TF6</t>
  </si>
  <si>
    <t>SIDB661</t>
  </si>
  <si>
    <t>INE556F14MD4</t>
  </si>
  <si>
    <t>KOSE380</t>
  </si>
  <si>
    <t>INE028E14UQ2</t>
  </si>
  <si>
    <t>BAFL1015</t>
  </si>
  <si>
    <t>INE296A14E79</t>
  </si>
  <si>
    <t>KOSE395</t>
  </si>
  <si>
    <t>INE028E14VI7</t>
  </si>
  <si>
    <t>Treasury Bill</t>
  </si>
  <si>
    <t>TBIL2576</t>
  </si>
  <si>
    <t>364 Days Tbill (MD 15/10/2026)</t>
  </si>
  <si>
    <t>IN002025Z294</t>
  </si>
  <si>
    <t>Sovereign</t>
  </si>
  <si>
    <t>TBIL2611</t>
  </si>
  <si>
    <t>364 Days Tbill (MD 15/01/2027)</t>
  </si>
  <si>
    <t>IN002025Z419</t>
  </si>
  <si>
    <t>TBIL2542</t>
  </si>
  <si>
    <t>364 Days Tbill (MD 30/07/2026)</t>
  </si>
  <si>
    <t>IN002025Z187</t>
  </si>
  <si>
    <t>TBIL2499</t>
  </si>
  <si>
    <t>364 Days Tbill (MD 16/04/2026)</t>
  </si>
  <si>
    <t>IN002025Z039</t>
  </si>
  <si>
    <t>Others</t>
  </si>
  <si>
    <t>Mutual Fund Units</t>
  </si>
  <si>
    <t>143269</t>
  </si>
  <si>
    <t>Parag Parikh Liquid Fund- Direct Plan- Growth</t>
  </si>
  <si>
    <t>INF879O01068</t>
  </si>
  <si>
    <t>Reverse Repo / TREPS</t>
  </si>
  <si>
    <t>TRP_020426</t>
  </si>
  <si>
    <t>REP5_300326</t>
  </si>
  <si>
    <t>Net Receivables / (Payables)</t>
  </si>
  <si>
    <t>GRAND TOTAL</t>
  </si>
  <si>
    <t>Industry</t>
  </si>
  <si>
    <t>Rating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</si>
  <si>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</si>
  <si>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</si>
  <si>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</si>
  <si>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</si>
  <si>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</si>
  <si>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(b) Privately placed / Unlisted</t>
  </si>
  <si>
    <t>BKBA580</t>
  </si>
  <si>
    <t>INE028A16LX0</t>
  </si>
  <si>
    <t>INBK526</t>
  </si>
  <si>
    <t>INE562A16QS7</t>
  </si>
  <si>
    <t>HDFB1046</t>
  </si>
  <si>
    <t>INE040A16IR3</t>
  </si>
  <si>
    <t>PUBA1157</t>
  </si>
  <si>
    <t>INE160A16UU8</t>
  </si>
  <si>
    <t>PUBA1159</t>
  </si>
  <si>
    <t>INE160A16UZ7</t>
  </si>
  <si>
    <t>BKBA553</t>
  </si>
  <si>
    <t>INE028A16KR4</t>
  </si>
  <si>
    <t>CANB1091</t>
  </si>
  <si>
    <t>INE476A16H19</t>
  </si>
  <si>
    <t>UNBI475</t>
  </si>
  <si>
    <t>INE692A16LF0</t>
  </si>
  <si>
    <t>INBK528</t>
  </si>
  <si>
    <t>INE562A16QT5</t>
  </si>
  <si>
    <t>KMBK892</t>
  </si>
  <si>
    <t>INE237AD6083</t>
  </si>
  <si>
    <t>UNBI477</t>
  </si>
  <si>
    <t>INE692A16LK0</t>
  </si>
  <si>
    <t>UTIB1393</t>
  </si>
  <si>
    <t>INE238AD6CE5</t>
  </si>
  <si>
    <t>INBK520</t>
  </si>
  <si>
    <t>INE562A16QL2</t>
  </si>
  <si>
    <t>UNBI455</t>
  </si>
  <si>
    <t>INE692A16KG0</t>
  </si>
  <si>
    <t>UNBI480</t>
  </si>
  <si>
    <t>INE692A16LO2</t>
  </si>
  <si>
    <t>UNBI454</t>
  </si>
  <si>
    <t>INE692A16KH8</t>
  </si>
  <si>
    <t>UTIB1358</t>
  </si>
  <si>
    <t>INE238AD6AU5</t>
  </si>
  <si>
    <t>BAFL1026</t>
  </si>
  <si>
    <t>INE296A14A99</t>
  </si>
  <si>
    <t>SIDB663</t>
  </si>
  <si>
    <t>INE556F14MF9</t>
  </si>
  <si>
    <t>POWF555</t>
  </si>
  <si>
    <t>INE134E14AX6</t>
  </si>
  <si>
    <t>NBAR889</t>
  </si>
  <si>
    <t>INE261F14OX5</t>
  </si>
  <si>
    <t>EXIM820</t>
  </si>
  <si>
    <t>INE514E14TG4</t>
  </si>
  <si>
    <t>NBAR899</t>
  </si>
  <si>
    <t>INE261F14PC6</t>
  </si>
  <si>
    <t>KOSE398</t>
  </si>
  <si>
    <t>INE028E14VL1</t>
  </si>
  <si>
    <t>EXIM812</t>
  </si>
  <si>
    <t>INE514E14SY9</t>
  </si>
  <si>
    <t>EXIM818</t>
  </si>
  <si>
    <t>INE514E14TE9</t>
  </si>
  <si>
    <t>HDFS351</t>
  </si>
  <si>
    <t>INE700G14SZ6</t>
  </si>
  <si>
    <t>NBAR877</t>
  </si>
  <si>
    <t>INE261F14OR7</t>
  </si>
  <si>
    <t>TBIL2641</t>
  </si>
  <si>
    <t>91 Days Tbill (MD 19/06/2026)</t>
  </si>
  <si>
    <t>IN002025X505</t>
  </si>
  <si>
    <t>TBIL2637</t>
  </si>
  <si>
    <t>91 Days Tbill (MD 11/06/2026)</t>
  </si>
  <si>
    <t>IN002025X497</t>
  </si>
  <si>
    <t>TBIL2622</t>
  </si>
  <si>
    <t>91 Days Tbill (MD 14/05/2026)</t>
  </si>
  <si>
    <t>IN002025X455</t>
  </si>
  <si>
    <t>Corporate Debt Market Development Fund</t>
  </si>
  <si>
    <t>CDMD50ME</t>
  </si>
  <si>
    <t>INF0RQ622028</t>
  </si>
  <si>
    <t>CPIL02</t>
  </si>
  <si>
    <t>CCL Products (India) Limited</t>
  </si>
  <si>
    <t>INE421D01022</t>
  </si>
  <si>
    <t>Agricultural Food &amp; other Products</t>
  </si>
  <si>
    <t>WIPR02</t>
  </si>
  <si>
    <t>Wipro Limited</t>
  </si>
  <si>
    <t>INE075A01022</t>
  </si>
  <si>
    <t>VSTI01</t>
  </si>
  <si>
    <t>VST Industries Limited</t>
  </si>
  <si>
    <t>INE710A01016</t>
  </si>
  <si>
    <t>Cigarettes &amp; Tobacco Products</t>
  </si>
  <si>
    <t>WCPA02</t>
  </si>
  <si>
    <t>West Coast Paper Mills Limited</t>
  </si>
  <si>
    <t>INE976A01021</t>
  </si>
  <si>
    <t>Paper, Forest &amp; Jute Products</t>
  </si>
  <si>
    <t>ITAG01</t>
  </si>
  <si>
    <t>Sundrop Brands Ltd</t>
  </si>
  <si>
    <t>INE209A01019</t>
  </si>
  <si>
    <t>RECL480</t>
  </si>
  <si>
    <t>INE020B14698</t>
  </si>
  <si>
    <t>PLNG01</t>
  </si>
  <si>
    <t>Petronet LNG Limited</t>
  </si>
  <si>
    <t>INE347G01014</t>
  </si>
  <si>
    <t>RELC01</t>
  </si>
  <si>
    <t>REC Limited</t>
  </si>
  <si>
    <t>INE020B01018</t>
  </si>
  <si>
    <t>CKIL01</t>
  </si>
  <si>
    <t>Cigniti Technologies Limited</t>
  </si>
  <si>
    <t>INE675C01017</t>
  </si>
  <si>
    <t>IT - Services</t>
  </si>
  <si>
    <t>SANG01</t>
  </si>
  <si>
    <t>Sanghi Industries Limited</t>
  </si>
  <si>
    <t>INE999B01013</t>
  </si>
  <si>
    <t>Cement &amp; Cement Products</t>
  </si>
  <si>
    <t>GUAMAPR26</t>
  </si>
  <si>
    <t>Ambuja Cements Limited April 2026 Future</t>
  </si>
  <si>
    <t>BTVLAPR26</t>
  </si>
  <si>
    <t>Bharti Airtel Limited April 2026 Future</t>
  </si>
  <si>
    <t>NITLAPR26</t>
  </si>
  <si>
    <t>Coforge Limited April 2026 Future</t>
  </si>
  <si>
    <t>GOI3472</t>
  </si>
  <si>
    <t>IN3320200295</t>
  </si>
  <si>
    <t>GOI6435</t>
  </si>
  <si>
    <t>IN1920240232</t>
  </si>
  <si>
    <t>GOI5005</t>
  </si>
  <si>
    <t>IN2220220171</t>
  </si>
  <si>
    <t>GOI7466</t>
  </si>
  <si>
    <t>IN1920250272</t>
  </si>
  <si>
    <t>GOI4829</t>
  </si>
  <si>
    <t>IN3120220188</t>
  </si>
  <si>
    <t>GOI3253</t>
  </si>
  <si>
    <t>IN3320190272</t>
  </si>
  <si>
    <t>GOI4808</t>
  </si>
  <si>
    <t>IN2220220122</t>
  </si>
  <si>
    <t>SIDB593</t>
  </si>
  <si>
    <t>INE556F08KX8</t>
  </si>
  <si>
    <t>CRISIL AAA</t>
  </si>
  <si>
    <t>GOI4920</t>
  </si>
  <si>
    <t>IN1520220170</t>
  </si>
  <si>
    <t>GOI3493</t>
  </si>
  <si>
    <t>IN2220210073</t>
  </si>
  <si>
    <t>GOI4555</t>
  </si>
  <si>
    <t>IN1520220071</t>
  </si>
  <si>
    <t>NBAR787</t>
  </si>
  <si>
    <t>INE261F08EJ7</t>
  </si>
  <si>
    <t>ICRA AAA</t>
  </si>
  <si>
    <t>GOI5195</t>
  </si>
  <si>
    <t>IN2220230055</t>
  </si>
  <si>
    <t>GOI5840</t>
  </si>
  <si>
    <t>IN3120240111</t>
  </si>
  <si>
    <t>NBAR803</t>
  </si>
  <si>
    <t>INE261F08EL3</t>
  </si>
  <si>
    <t>BAFL974</t>
  </si>
  <si>
    <t>INE296A07TJ4</t>
  </si>
  <si>
    <t>GOI7424</t>
  </si>
  <si>
    <t>IN3120250722</t>
  </si>
  <si>
    <t>GOI7009</t>
  </si>
  <si>
    <t>IN1520250136</t>
  </si>
  <si>
    <t>GOI6535</t>
  </si>
  <si>
    <t>IN2120240246</t>
  </si>
  <si>
    <t>GOI4737</t>
  </si>
  <si>
    <t>IN2220220114</t>
  </si>
  <si>
    <t>GOI3050</t>
  </si>
  <si>
    <t>IN3320200329</t>
  </si>
  <si>
    <t>GOI5368</t>
  </si>
  <si>
    <t>IN1920230068</t>
  </si>
  <si>
    <t>GOI5052</t>
  </si>
  <si>
    <t>IN2220220254</t>
  </si>
  <si>
    <t>GOI2255</t>
  </si>
  <si>
    <t>IN2220190036</t>
  </si>
  <si>
    <t>GOI4932</t>
  </si>
  <si>
    <t>IN1920220168</t>
  </si>
  <si>
    <t>GOI3489</t>
  </si>
  <si>
    <t>IN2220210081</t>
  </si>
  <si>
    <t>GOI4804</t>
  </si>
  <si>
    <t>IN3120220170</t>
  </si>
  <si>
    <t>GOI5044</t>
  </si>
  <si>
    <t>IN2220220239</t>
  </si>
  <si>
    <t>GOI5405</t>
  </si>
  <si>
    <t>IN3320230193</t>
  </si>
  <si>
    <t>GOI5429</t>
  </si>
  <si>
    <t>IN1520230138</t>
  </si>
  <si>
    <t>GOI6046</t>
  </si>
  <si>
    <t>IN3120240020</t>
  </si>
  <si>
    <t>GOI5833</t>
  </si>
  <si>
    <t>IN0020240076</t>
  </si>
  <si>
    <t>BAFL926</t>
  </si>
  <si>
    <t>INE296A07TC9</t>
  </si>
  <si>
    <t>LICH679</t>
  </si>
  <si>
    <t>INE115A07QU9</t>
  </si>
  <si>
    <t>SIDB598</t>
  </si>
  <si>
    <t>INE556F08KY6</t>
  </si>
  <si>
    <t>GOI6010</t>
  </si>
  <si>
    <t>IN3120240186</t>
  </si>
  <si>
    <t>BAFL977</t>
  </si>
  <si>
    <t>INE296A07TL0</t>
  </si>
  <si>
    <t>LICH700</t>
  </si>
  <si>
    <t>INE115A07RG6</t>
  </si>
  <si>
    <t>GOI3700</t>
  </si>
  <si>
    <t>IN1920210169</t>
  </si>
  <si>
    <t>GOI2360</t>
  </si>
  <si>
    <t>IN1020180304</t>
  </si>
  <si>
    <t>GOI5726</t>
  </si>
  <si>
    <t>IN3620240017</t>
  </si>
  <si>
    <t>GOI3555</t>
  </si>
  <si>
    <t>IN3120210148</t>
  </si>
  <si>
    <t>GOI2101</t>
  </si>
  <si>
    <t>IN2020180070</t>
  </si>
  <si>
    <t>GOI5023</t>
  </si>
  <si>
    <t>IN2220220197</t>
  </si>
  <si>
    <t>IGIF47</t>
  </si>
  <si>
    <t>INE219X07520</t>
  </si>
  <si>
    <t>GOI2775</t>
  </si>
  <si>
    <t>IN1920200327</t>
  </si>
  <si>
    <t>GOI2165</t>
  </si>
  <si>
    <t>IN1020180361</t>
  </si>
  <si>
    <t>GOI6899</t>
  </si>
  <si>
    <t>IN2920220190</t>
  </si>
  <si>
    <t>GOI4487</t>
  </si>
  <si>
    <t>IN2920220042</t>
  </si>
  <si>
    <t>GOI5037</t>
  </si>
  <si>
    <t>IN2220220213</t>
  </si>
  <si>
    <t>GOI5210</t>
  </si>
  <si>
    <t>IN2920220349</t>
  </si>
  <si>
    <t>GOI5333</t>
  </si>
  <si>
    <t>IN3120230260</t>
  </si>
  <si>
    <t>GOI5125</t>
  </si>
  <si>
    <t>IN1020230042</t>
  </si>
  <si>
    <t>GOI5144</t>
  </si>
  <si>
    <t>IN2220230071</t>
  </si>
  <si>
    <t>GOI6192</t>
  </si>
  <si>
    <t>IN3120190233</t>
  </si>
  <si>
    <t>GOI3029</t>
  </si>
  <si>
    <t>IN2920200689</t>
  </si>
  <si>
    <t>GOI4069</t>
  </si>
  <si>
    <t>IN1520210213</t>
  </si>
  <si>
    <t>GOI2740</t>
  </si>
  <si>
    <t>IN2220200207</t>
  </si>
  <si>
    <t>GOI6654</t>
  </si>
  <si>
    <t>IN3120240376</t>
  </si>
  <si>
    <t>GOI2743</t>
  </si>
  <si>
    <t>IN2220200231</t>
  </si>
  <si>
    <t>GOI3891</t>
  </si>
  <si>
    <t>IN1920210144</t>
  </si>
  <si>
    <t>GOI6815</t>
  </si>
  <si>
    <t>IN1920240331</t>
  </si>
  <si>
    <t>GOI7345</t>
  </si>
  <si>
    <t>IN1920250132</t>
  </si>
  <si>
    <t>GOI3409</t>
  </si>
  <si>
    <t>IN2820180106</t>
  </si>
  <si>
    <t>GOI2188</t>
  </si>
  <si>
    <t>IN1920180156</t>
  </si>
  <si>
    <t>GOI1989</t>
  </si>
  <si>
    <t>IN1020140134</t>
  </si>
  <si>
    <t>GOI3881</t>
  </si>
  <si>
    <t>IN1920200012</t>
  </si>
  <si>
    <t>GOI4854</t>
  </si>
  <si>
    <t>IN1920220010</t>
  </si>
  <si>
    <t>GOI5284</t>
  </si>
  <si>
    <t>IN2920220018</t>
  </si>
  <si>
    <t>GOI4099</t>
  </si>
  <si>
    <t>IN3420190016</t>
  </si>
  <si>
    <t>IGIF45</t>
  </si>
  <si>
    <t>INE219X07454</t>
  </si>
  <si>
    <t>GOI4095</t>
  </si>
  <si>
    <t>IN2020190103</t>
  </si>
  <si>
    <t>IGIF29</t>
  </si>
  <si>
    <t>INE219X07215</t>
  </si>
  <si>
    <t>GOI5803</t>
  </si>
  <si>
    <t>IN2920240057</t>
  </si>
  <si>
    <t>GOI5145</t>
  </si>
  <si>
    <t>IN2220230089</t>
  </si>
  <si>
    <t>GOI6138</t>
  </si>
  <si>
    <t>IN3120240152</t>
  </si>
  <si>
    <t>GOI5122</t>
  </si>
  <si>
    <t>IN2220230063</t>
  </si>
  <si>
    <t>GOI5101</t>
  </si>
  <si>
    <t>IN3120230021</t>
  </si>
  <si>
    <t>GOI6496</t>
  </si>
  <si>
    <t>IN1920240299</t>
  </si>
  <si>
    <t>GOI3032</t>
  </si>
  <si>
    <t>IN1520200271</t>
  </si>
  <si>
    <t>GOI6563</t>
  </si>
  <si>
    <t>IN3120240616</t>
  </si>
  <si>
    <t>GOI3659</t>
  </si>
  <si>
    <t>IN3120210114</t>
  </si>
  <si>
    <t>GOI6897</t>
  </si>
  <si>
    <t>IN3120210171</t>
  </si>
  <si>
    <t>GOI3619</t>
  </si>
  <si>
    <t>IN3120210213</t>
  </si>
  <si>
    <t>GOI3904</t>
  </si>
  <si>
    <t>IN2220210115</t>
  </si>
  <si>
    <t>GOI3665</t>
  </si>
  <si>
    <t>IN1920210151</t>
  </si>
  <si>
    <t>GOI2714</t>
  </si>
  <si>
    <t>IN3120200222</t>
  </si>
  <si>
    <t>RATN01</t>
  </si>
  <si>
    <t>RBL Bank Limited</t>
  </si>
  <si>
    <t>INE976G01028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</si>
  <si>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</si>
  <si>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</si>
  <si>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</si>
  <si>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</si>
  <si>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</si>
  <si>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</si>
  <si>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</si>
  <si>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BHAH02</t>
  </si>
  <si>
    <t>Bharat Heavy Electricals Limited</t>
  </si>
  <si>
    <t>INE257A01026</t>
  </si>
  <si>
    <t>Electrical Equipment</t>
  </si>
  <si>
    <t>NMDC01</t>
  </si>
  <si>
    <t>NMDC Limited</t>
  </si>
  <si>
    <t>INE584A01023</t>
  </si>
  <si>
    <t>Minerals &amp; Mining</t>
  </si>
  <si>
    <t>SHTR02</t>
  </si>
  <si>
    <t>Shriram Finance Limited</t>
  </si>
  <si>
    <t>INE721A01047</t>
  </si>
  <si>
    <t>ULCC01</t>
  </si>
  <si>
    <t>UltraTech Cement Limited</t>
  </si>
  <si>
    <t>INE481G01011</t>
  </si>
  <si>
    <t>PUBA02</t>
  </si>
  <si>
    <t>Punjab National Bank</t>
  </si>
  <si>
    <t>INE160A01022</t>
  </si>
  <si>
    <t>GMRI03</t>
  </si>
  <si>
    <t>GMR Airports Limited</t>
  </si>
  <si>
    <t>INE776C01039</t>
  </si>
  <si>
    <t>Transport Infrastructure</t>
  </si>
  <si>
    <t>IDBK01</t>
  </si>
  <si>
    <t>IDFC First Bank Limited</t>
  </si>
  <si>
    <t>INE092T01019</t>
  </si>
  <si>
    <t>BKBA02</t>
  </si>
  <si>
    <t>Bank of Baroda</t>
  </si>
  <si>
    <t>INE028A01039</t>
  </si>
  <si>
    <t>BAFL03</t>
  </si>
  <si>
    <t>Bajaj Finance Limited</t>
  </si>
  <si>
    <t>INE296A01032</t>
  </si>
  <si>
    <t>HALT02</t>
  </si>
  <si>
    <t>Hindustan Aeronautics Limited</t>
  </si>
  <si>
    <t>INE066F01020</t>
  </si>
  <si>
    <t>EIML02</t>
  </si>
  <si>
    <t>Eicher Motors Limited</t>
  </si>
  <si>
    <t>INE066A01021</t>
  </si>
  <si>
    <t>DLFL01</t>
  </si>
  <si>
    <t>DLF Limited</t>
  </si>
  <si>
    <t>INE271C01023</t>
  </si>
  <si>
    <t>BAND01</t>
  </si>
  <si>
    <t>Bandhan Bank Limited</t>
  </si>
  <si>
    <t>INE545U01014</t>
  </si>
  <si>
    <t>TPOW02</t>
  </si>
  <si>
    <t>Tata Power Company Limited</t>
  </si>
  <si>
    <t>INE245A01021</t>
  </si>
  <si>
    <t>ZMPL01</t>
  </si>
  <si>
    <t>Eternal Limited</t>
  </si>
  <si>
    <t>INE758T01015</t>
  </si>
  <si>
    <t>Retailing</t>
  </si>
  <si>
    <t>RELS01</t>
  </si>
  <si>
    <t>Jio Financial Services Limited</t>
  </si>
  <si>
    <t>INE758E01017</t>
  </si>
  <si>
    <t>BRIT03</t>
  </si>
  <si>
    <t>Britannia Industries Limited</t>
  </si>
  <si>
    <t>INE216A01030</t>
  </si>
  <si>
    <t>GRAS02</t>
  </si>
  <si>
    <t>Grasim Industries Limited</t>
  </si>
  <si>
    <t>INE047A01021</t>
  </si>
  <si>
    <t>IHOT02</t>
  </si>
  <si>
    <t>The Indian Hotels Company Limited</t>
  </si>
  <si>
    <t>INE053A01029</t>
  </si>
  <si>
    <t>Leisure Services</t>
  </si>
  <si>
    <t>LARS02</t>
  </si>
  <si>
    <t>Larsen &amp; Toubro Limited</t>
  </si>
  <si>
    <t>INE018A01030</t>
  </si>
  <si>
    <t>Construction</t>
  </si>
  <si>
    <t>LICH02</t>
  </si>
  <si>
    <t>LIC Housing Finance Limited</t>
  </si>
  <si>
    <t>INE115A01026</t>
  </si>
  <si>
    <t>CANB02</t>
  </si>
  <si>
    <t>Canara Bank</t>
  </si>
  <si>
    <t>INE476A01022</t>
  </si>
  <si>
    <t>SAIL01</t>
  </si>
  <si>
    <t>Steel Authority of India Limited</t>
  </si>
  <si>
    <t>INE114A01011</t>
  </si>
  <si>
    <t>ABFS01</t>
  </si>
  <si>
    <t>Aditya Birla Capital Limited</t>
  </si>
  <si>
    <t>INE674K01013</t>
  </si>
  <si>
    <t>JVSL04</t>
  </si>
  <si>
    <t>JSW Steel Limited</t>
  </si>
  <si>
    <t>INE019A01038</t>
  </si>
  <si>
    <t>BIOC01</t>
  </si>
  <si>
    <t>Biocon Limited</t>
  </si>
  <si>
    <t>INE376G01013</t>
  </si>
  <si>
    <t>VNBL03</t>
  </si>
  <si>
    <t>Varun Beverages Limited</t>
  </si>
  <si>
    <t>INE200M01039</t>
  </si>
  <si>
    <t>Beverages</t>
  </si>
  <si>
    <t>IBHF01</t>
  </si>
  <si>
    <t>Sammaan Capital Limited</t>
  </si>
  <si>
    <t>INE148I01020</t>
  </si>
  <si>
    <t>BFSL02</t>
  </si>
  <si>
    <t>Bajaj Finserv Limited</t>
  </si>
  <si>
    <t>INE918I01026</t>
  </si>
  <si>
    <t>JSWE01</t>
  </si>
  <si>
    <t>JSW Energy Limited</t>
  </si>
  <si>
    <t>INE121E01018</t>
  </si>
  <si>
    <t>CGCE01</t>
  </si>
  <si>
    <t>Crompton Greaves Consumer Electricals Limited</t>
  </si>
  <si>
    <t>INE299U01018</t>
  </si>
  <si>
    <t>TTEA02</t>
  </si>
  <si>
    <t>Tata Consumer Products Limited</t>
  </si>
  <si>
    <t>INE192A01025</t>
  </si>
  <si>
    <t>ONCO02</t>
  </si>
  <si>
    <t>One 97 Communications Limited</t>
  </si>
  <si>
    <t>INE982J01020</t>
  </si>
  <si>
    <t>Financial Technology (Fintech)</t>
  </si>
  <si>
    <t>AUPH03</t>
  </si>
  <si>
    <t>Aurobindo Pharma Limited</t>
  </si>
  <si>
    <t>INE406A01037</t>
  </si>
  <si>
    <t>INOW01</t>
  </si>
  <si>
    <t>Inox Wind Limited</t>
  </si>
  <si>
    <t>INE066P01011</t>
  </si>
  <si>
    <t>DIVI02</t>
  </si>
  <si>
    <t>Divi's Laboratories Limited</t>
  </si>
  <si>
    <t>INE361B01024</t>
  </si>
  <si>
    <t>PHFP02</t>
  </si>
  <si>
    <t>PNB Housing Finance Limited</t>
  </si>
  <si>
    <t>INE572E01012</t>
  </si>
  <si>
    <t>CHLO02</t>
  </si>
  <si>
    <t>Exide Industries Limited</t>
  </si>
  <si>
    <t>INE302A01020</t>
  </si>
  <si>
    <t>MACR01</t>
  </si>
  <si>
    <t>Lodha Developers Limited</t>
  </si>
  <si>
    <t>INE670K01029</t>
  </si>
  <si>
    <t>GAIL01</t>
  </si>
  <si>
    <t>GAIL (India) Limited</t>
  </si>
  <si>
    <t>INE129A01019</t>
  </si>
  <si>
    <t>YESB03</t>
  </si>
  <si>
    <t>Yes Bank Limited</t>
  </si>
  <si>
    <t>INE528G01035</t>
  </si>
  <si>
    <t>GODP02</t>
  </si>
  <si>
    <t>Godrej Properties Limited</t>
  </si>
  <si>
    <t>INE484J01027</t>
  </si>
  <si>
    <t>SLIF01</t>
  </si>
  <si>
    <t>SBI Life Insurance Company Limited</t>
  </si>
  <si>
    <t>INE123W01016</t>
  </si>
  <si>
    <t>Insurance</t>
  </si>
  <si>
    <t>MCSP02</t>
  </si>
  <si>
    <t>United Spirits Limited</t>
  </si>
  <si>
    <t>INE854D01024</t>
  </si>
  <si>
    <t>DABU02</t>
  </si>
  <si>
    <t>Dabur India Limited</t>
  </si>
  <si>
    <t>INE016A01026</t>
  </si>
  <si>
    <t>Personal Products</t>
  </si>
  <si>
    <t>BFLS01</t>
  </si>
  <si>
    <t>Mphasis Limited</t>
  </si>
  <si>
    <t>INE356A01018</t>
  </si>
  <si>
    <t>TELC03</t>
  </si>
  <si>
    <t>Tata Motors Passenger Vehicles Limited</t>
  </si>
  <si>
    <t>INE155A01022</t>
  </si>
  <si>
    <t>JSPL03</t>
  </si>
  <si>
    <t>Jindal Steel Limited</t>
  </si>
  <si>
    <t>INE749A01030</t>
  </si>
  <si>
    <t>LAUR02</t>
  </si>
  <si>
    <t>Laurus Labs Limited</t>
  </si>
  <si>
    <t>INE947Q01028</t>
  </si>
  <si>
    <t>GLPH03</t>
  </si>
  <si>
    <t>Glenmark Pharmaceuticals Limited</t>
  </si>
  <si>
    <t>INE935A01035</t>
  </si>
  <si>
    <t>CHOL02</t>
  </si>
  <si>
    <t>Cholamandalam Investment and Finance Company Ltd</t>
  </si>
  <si>
    <t>INE121A01024</t>
  </si>
  <si>
    <t>NEST02</t>
  </si>
  <si>
    <t>Nestle India Limited</t>
  </si>
  <si>
    <t>INE239A01024</t>
  </si>
  <si>
    <t>PHMI02</t>
  </si>
  <si>
    <t>The Phoenix Mills Limited</t>
  </si>
  <si>
    <t>INE211B01039</t>
  </si>
  <si>
    <t>(b) Unlisted</t>
  </si>
  <si>
    <t>PHMIAPR26</t>
  </si>
  <si>
    <t>The Phoenix Mills Limited April 2026 Future</t>
  </si>
  <si>
    <t>NESTAPR26</t>
  </si>
  <si>
    <t>Nestle India Limited April 2026 Future</t>
  </si>
  <si>
    <t>CHOLAPR26</t>
  </si>
  <si>
    <t>Cholamandalam Investment and Finance Company Ltd April 2026 Future</t>
  </si>
  <si>
    <t>GLPHAPR26</t>
  </si>
  <si>
    <t>Glenmark Pharmaceuticals Limited April 2026 Future</t>
  </si>
  <si>
    <t>LAURAPR26</t>
  </si>
  <si>
    <t>Laurus Labs Limited April 2026 Future</t>
  </si>
  <si>
    <t>JSPLAPR26</t>
  </si>
  <si>
    <t>Jindal Steel Limited April 2026 Future</t>
  </si>
  <si>
    <t>TELCAPR26</t>
  </si>
  <si>
    <t>Tata Motors Passenger Vehicles Limited April 2026 Future</t>
  </si>
  <si>
    <t>BFLSAPR26</t>
  </si>
  <si>
    <t>Mphasis Limited April 2026 Future</t>
  </si>
  <si>
    <t>DABUAPR26</t>
  </si>
  <si>
    <t>Dabur India Limited April 2026 Future</t>
  </si>
  <si>
    <t>MCSPAPR26</t>
  </si>
  <si>
    <t>United Spirits Limited April 2026 Future</t>
  </si>
  <si>
    <t>SLIFAPR26</t>
  </si>
  <si>
    <t>SBI Life Insurance Company Limited April 2026 Future</t>
  </si>
  <si>
    <t>GODPAPR26</t>
  </si>
  <si>
    <t>Godrej Properties Limited April 2026 Future</t>
  </si>
  <si>
    <t>YESBAPR26</t>
  </si>
  <si>
    <t>Yes Bank Limited April 2026 Future</t>
  </si>
  <si>
    <t>GAILAPR26</t>
  </si>
  <si>
    <t>GAIL (India) Limited April 2026 Future</t>
  </si>
  <si>
    <t>MACRAPR26</t>
  </si>
  <si>
    <t>Lodha Developers Limited April 2026 Future</t>
  </si>
  <si>
    <t>CHLOAPR26</t>
  </si>
  <si>
    <t>Exide Industries Limited April 2026 Future</t>
  </si>
  <si>
    <t>PHFPAPR26</t>
  </si>
  <si>
    <t>PNB Housing Finance Limited April 2026 Future</t>
  </si>
  <si>
    <t>DIVIAPR26</t>
  </si>
  <si>
    <t>Divi's Laboratories Limited April 2026 Future</t>
  </si>
  <si>
    <t>MAUDAPR26</t>
  </si>
  <si>
    <t>Maruti Suzuki India Limited April 2026 Future</t>
  </si>
  <si>
    <t>INOWAPR26</t>
  </si>
  <si>
    <t>Inox Wind Limited April 2026 Future</t>
  </si>
  <si>
    <t>AUPHAPR26</t>
  </si>
  <si>
    <t>Aurobindo Pharma Limited April 2026 Future</t>
  </si>
  <si>
    <t>ONCOAPR26</t>
  </si>
  <si>
    <t>One 97 Communications Limited April 2026 Future</t>
  </si>
  <si>
    <t>TTEAAPR26</t>
  </si>
  <si>
    <t>Tata Consumer Products Limited April 2026 Future</t>
  </si>
  <si>
    <t>CGCEAPR26</t>
  </si>
  <si>
    <t>Crompton Greaves Consumer Electricals Limited April 2026 Future</t>
  </si>
  <si>
    <t>JSWEAPR26</t>
  </si>
  <si>
    <t>JSW Energy Limited April 2026 Future</t>
  </si>
  <si>
    <t>BFSLAPR26</t>
  </si>
  <si>
    <t>Bajaj Finserv Limited April 2026 Future</t>
  </si>
  <si>
    <t>IBHFAPR26</t>
  </si>
  <si>
    <t>Sammaan Capital Limited April 2026 Future</t>
  </si>
  <si>
    <t>DRRLAPR26</t>
  </si>
  <si>
    <t>Dr. Reddy's Laboratories Limited April 2026 Future</t>
  </si>
  <si>
    <t>VNBLAPR26</t>
  </si>
  <si>
    <t>Varun Beverages Limited April 2026 Future</t>
  </si>
  <si>
    <t>CHELAPR26</t>
  </si>
  <si>
    <t>Zydus Lifesciences Limited April 2026 Future</t>
  </si>
  <si>
    <t>BIOCAPR26</t>
  </si>
  <si>
    <t>Biocon Limited April 2026 Future</t>
  </si>
  <si>
    <t>JVSLAPR26</t>
  </si>
  <si>
    <t>JSW Steel Limited April 2026 Future</t>
  </si>
  <si>
    <t>ABFSAPR26</t>
  </si>
  <si>
    <t>Aditya Birla Capital Limited April 2026 Future</t>
  </si>
  <si>
    <t>RTBKAPR26</t>
  </si>
  <si>
    <t>RBL Bank Limited April 2026 Future</t>
  </si>
  <si>
    <t>SAILAPR26</t>
  </si>
  <si>
    <t>Steel Authority of India Limited April 2026 Future</t>
  </si>
  <si>
    <t>CANBAPR26</t>
  </si>
  <si>
    <t>Canara Bank April 2026 Future</t>
  </si>
  <si>
    <t>LICHAPR26</t>
  </si>
  <si>
    <t>LIC Housing Finance Limited April 2026 Future</t>
  </si>
  <si>
    <t>ITCLAPR26</t>
  </si>
  <si>
    <t>ITC Limited April 2026 Future</t>
  </si>
  <si>
    <t>LARSAPR26</t>
  </si>
  <si>
    <t>Larsen &amp; Toubro Limited April 2026 Future</t>
  </si>
  <si>
    <t>IHOTAPR26</t>
  </si>
  <si>
    <t>The Indian Hotels Company Limited April 2026 Future</t>
  </si>
  <si>
    <t>GRASAPR26</t>
  </si>
  <si>
    <t>Grasim Industries Limited April 2026 Future</t>
  </si>
  <si>
    <t>BRITAPR26</t>
  </si>
  <si>
    <t>Britannia Industries Limited April 2026 Future</t>
  </si>
  <si>
    <t>RELSAPR26</t>
  </si>
  <si>
    <t>Jio Financial Services Limited April 2026 Future</t>
  </si>
  <si>
    <t>ZMPLAPR26</t>
  </si>
  <si>
    <t>Eternal Limited April 2026 Future</t>
  </si>
  <si>
    <t>TPOWAPR26</t>
  </si>
  <si>
    <t>Tata Power Company Limited April 2026 Future</t>
  </si>
  <si>
    <t>BANDAPR26</t>
  </si>
  <si>
    <t>Bandhan Bank Limited April 2026 Future</t>
  </si>
  <si>
    <t>DLFLAPR26</t>
  </si>
  <si>
    <t>DLF Limited April 2026 Future</t>
  </si>
  <si>
    <t>EIMLAPR26</t>
  </si>
  <si>
    <t>Eicher Motors Limited April 2026 Future</t>
  </si>
  <si>
    <t>HALTAPR26</t>
  </si>
  <si>
    <t>Hindustan Aeronautics Limited April 2026 Future</t>
  </si>
  <si>
    <t>TCSLAPR26</t>
  </si>
  <si>
    <t>Tata Consultancy Services Limited April 2026 Future</t>
  </si>
  <si>
    <t>BAFLAPR26</t>
  </si>
  <si>
    <t>Bajaj Finance Limited April 2026 Future</t>
  </si>
  <si>
    <t>BKBAAPR26</t>
  </si>
  <si>
    <t>Bank of Baroda April 2026 Future</t>
  </si>
  <si>
    <t>IDBKAPR26</t>
  </si>
  <si>
    <t>IDFC First Bank Limited April 2026 Future</t>
  </si>
  <si>
    <t>GMRIAPR26</t>
  </si>
  <si>
    <t>GMR Airports Limited April 2026 Future</t>
  </si>
  <si>
    <t>ULCCAPR26</t>
  </si>
  <si>
    <t>UltraTech Cement Limited April 2026 Future</t>
  </si>
  <si>
    <t>PUBAAPR26</t>
  </si>
  <si>
    <t>Punjab National Bank April 2026 Future</t>
  </si>
  <si>
    <t>SHTRAPR26</t>
  </si>
  <si>
    <t>Shriram Finance Limited April 2026 Future</t>
  </si>
  <si>
    <t>NMDCAPR26</t>
  </si>
  <si>
    <t>NMDC Limited April 2026 Future</t>
  </si>
  <si>
    <t>BHAHAPR26</t>
  </si>
  <si>
    <t>Bharat Heavy Electricals Limited April 2026 Future</t>
  </si>
  <si>
    <t>TISCAPR26</t>
  </si>
  <si>
    <t>Tata Steel Limited April 2026 Future</t>
  </si>
  <si>
    <t>SBAIAPR26</t>
  </si>
  <si>
    <t>State Bank of India April 2026 Future</t>
  </si>
  <si>
    <t>MAHIAPR26</t>
  </si>
  <si>
    <t>Mahindra &amp; Mahindra Limited April 2026 Future</t>
  </si>
  <si>
    <t>UTIBAPR26</t>
  </si>
  <si>
    <t>Axis Bank Limited April 2026 Future</t>
  </si>
  <si>
    <t>KMBKAPR26</t>
  </si>
  <si>
    <t>Kotak Mahindra Bank Limited April 2026 Future</t>
  </si>
  <si>
    <t>IBCLAPR26</t>
  </si>
  <si>
    <t>ICICI Bank Limited April 2026 Future</t>
  </si>
  <si>
    <t>HDFBAPR26</t>
  </si>
  <si>
    <t>HDFC Bank Limited April 2026 Future</t>
  </si>
  <si>
    <t>CANB1080</t>
  </si>
  <si>
    <t>INE476A16F94</t>
  </si>
  <si>
    <t>INBK515</t>
  </si>
  <si>
    <t>INE562A16QE7</t>
  </si>
  <si>
    <t>BKBA543</t>
  </si>
  <si>
    <t>INE028A16KG7</t>
  </si>
  <si>
    <t>HDFB1015</t>
  </si>
  <si>
    <t>INE040A16HN4</t>
  </si>
  <si>
    <t>KOSE393</t>
  </si>
  <si>
    <t>INE028E14VE6</t>
  </si>
  <si>
    <t>NIRL01</t>
  </si>
  <si>
    <t>NIRLON LIMITED</t>
  </si>
  <si>
    <t>INE910A01012</t>
  </si>
  <si>
    <t>GOI3027</t>
  </si>
  <si>
    <t>IN3120200362</t>
  </si>
  <si>
    <t>GOI4815</t>
  </si>
  <si>
    <t>IN1520220113</t>
  </si>
  <si>
    <t>SIDB591</t>
  </si>
  <si>
    <t>INE556F08KW0</t>
  </si>
  <si>
    <t>LICH684</t>
  </si>
  <si>
    <t>INE115A07QY1</t>
  </si>
  <si>
    <t>BAFL973</t>
  </si>
  <si>
    <t>INE296A07TK2</t>
  </si>
  <si>
    <t>GOI6690</t>
  </si>
  <si>
    <t>IN2120240279</t>
  </si>
  <si>
    <t>GOI5006</t>
  </si>
  <si>
    <t>IN2220220189</t>
  </si>
  <si>
    <t>GOI3710</t>
  </si>
  <si>
    <t>IN1920210193</t>
  </si>
  <si>
    <t>GOI5615</t>
  </si>
  <si>
    <t>IN3120230278</t>
  </si>
  <si>
    <t>GOI4811</t>
  </si>
  <si>
    <t>IN2920220174</t>
  </si>
  <si>
    <t>GOI4450</t>
  </si>
  <si>
    <t>IN2220220064</t>
  </si>
  <si>
    <t>GOI5601</t>
  </si>
  <si>
    <t>IN3120230401</t>
  </si>
  <si>
    <t>GOI5201</t>
  </si>
  <si>
    <t>IN3120230179</t>
  </si>
  <si>
    <t>GOI5811</t>
  </si>
  <si>
    <t>IN3120240079</t>
  </si>
  <si>
    <t>GOI3511</t>
  </si>
  <si>
    <t>IN2220210131</t>
  </si>
  <si>
    <t>GOI2939</t>
  </si>
  <si>
    <t>IN1920200491</t>
  </si>
  <si>
    <t>GOI2963</t>
  </si>
  <si>
    <t>IN3120200339</t>
  </si>
  <si>
    <t>GOI2955</t>
  </si>
  <si>
    <t>IN1920200541</t>
  </si>
  <si>
    <t>GOI2444</t>
  </si>
  <si>
    <t>IN1920200020</t>
  </si>
  <si>
    <t>GOI5357</t>
  </si>
  <si>
    <t>IN2920230256</t>
  </si>
  <si>
    <t>GOI5036</t>
  </si>
  <si>
    <t>IN2220220221</t>
  </si>
  <si>
    <t>GOI6178</t>
  </si>
  <si>
    <t>IN1020220126</t>
  </si>
  <si>
    <t>GOI5156</t>
  </si>
  <si>
    <t>IN3120230096</t>
  </si>
  <si>
    <t>GOI2418</t>
  </si>
  <si>
    <t>IN1020190519</t>
  </si>
  <si>
    <t>GOI3984</t>
  </si>
  <si>
    <t>IN2920210415</t>
  </si>
  <si>
    <t>GOI2932</t>
  </si>
  <si>
    <t>IN1920200459</t>
  </si>
  <si>
    <t>GOI4283</t>
  </si>
  <si>
    <t>IN2920210308</t>
  </si>
  <si>
    <t>HLEL02</t>
  </si>
  <si>
    <t>Hindustan Unilever Limited</t>
  </si>
  <si>
    <t>INE030A01027</t>
  </si>
  <si>
    <t>NTPC01</t>
  </si>
  <si>
    <t>NTPC Limited</t>
  </si>
  <si>
    <t>INE733E01010</t>
  </si>
  <si>
    <t>SESA02</t>
  </si>
  <si>
    <t>Vedanta Limited</t>
  </si>
  <si>
    <t>INE205A01025</t>
  </si>
  <si>
    <t>Diversified Metals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</si>
  <si>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</si>
  <si>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</si>
  <si>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</si>
  <si>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</si>
  <si>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</si>
  <si>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</si>
  <si>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</si>
  <si>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</si>
  <si>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</si>
  <si>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</si>
  <si>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</si>
  <si>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</si>
  <si>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</si>
  <si>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INAV01</t>
  </si>
  <si>
    <t>InterGlobe Aviation Limited</t>
  </si>
  <si>
    <t>INE646L01027</t>
  </si>
  <si>
    <t>TEMA02</t>
  </si>
  <si>
    <t>Tech Mahindra Limited</t>
  </si>
  <si>
    <t>INE669C01036</t>
  </si>
  <si>
    <t>TMLC01</t>
  </si>
  <si>
    <t>Tata Motors Ltd</t>
  </si>
  <si>
    <t>INE1TAE01010</t>
  </si>
  <si>
    <t>Agricultural, Commercial &amp; Construction Vehicles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</si>
  <si>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</si>
  <si>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</si>
  <si>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</si>
  <si>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</si>
  <si>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</si>
  <si>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</si>
  <si>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LAKM02</t>
  </si>
  <si>
    <t>Trent Limited</t>
  </si>
  <si>
    <t>INE849A01020</t>
  </si>
  <si>
    <t>MAHE01</t>
  </si>
  <si>
    <t>Max Healthcare Institute Limited</t>
  </si>
  <si>
    <t>INE027H01010</t>
  </si>
  <si>
    <t>HDLI01</t>
  </si>
  <si>
    <t>HDFC Life Insurance Company Limited</t>
  </si>
  <si>
    <t>INE795G01014</t>
  </si>
  <si>
    <t>ADAP02</t>
  </si>
  <si>
    <t>Adani Power Limited</t>
  </si>
  <si>
    <t>INE814H01029</t>
  </si>
  <si>
    <t>KCUL02</t>
  </si>
  <si>
    <t>Cummins India Limited</t>
  </si>
  <si>
    <t>INE298A01020</t>
  </si>
  <si>
    <t>AVSP01</t>
  </si>
  <si>
    <t>Avenue Supermarts Limited</t>
  </si>
  <si>
    <t>INE192R01011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</si>
  <si>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</si>
  <si>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</si>
  <si>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</si>
  <si>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</si>
  <si>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</si>
  <si>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</si>
  <si>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IOIC01</t>
  </si>
  <si>
    <t>Indian Oil Corporation Limited</t>
  </si>
  <si>
    <t>INE242A01010</t>
  </si>
  <si>
    <t>MOSU03</t>
  </si>
  <si>
    <t>Samvardhana Motherson International Limited</t>
  </si>
  <si>
    <t>INE775A01035</t>
  </si>
  <si>
    <t>ADAN02</t>
  </si>
  <si>
    <t>Adani Enterprises Limited</t>
  </si>
  <si>
    <t>INE423A01024</t>
  </si>
  <si>
    <t>Metals &amp; Minerals Trading</t>
  </si>
  <si>
    <t>HDAM01</t>
  </si>
  <si>
    <t>HDFC Asset Management Company Limited</t>
  </si>
  <si>
    <t>INE127D01025</t>
  </si>
  <si>
    <t>CROM02</t>
  </si>
  <si>
    <t>CG Power and Industrial Solutions Limited</t>
  </si>
  <si>
    <t>INE067A01029</t>
  </si>
  <si>
    <t>TOPH02</t>
  </si>
  <si>
    <t>Torrent Pharmaceuticals Limited</t>
  </si>
  <si>
    <t>INE685A01028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</si>
  <si>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</si>
  <si>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</si>
  <si>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</si>
  <si>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</si>
  <si>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</si>
  <si>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</si>
  <si>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</si>
  <si>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LTIL01</t>
  </si>
  <si>
    <t>LTIMindtree Limited</t>
  </si>
  <si>
    <t>INE214T01019</t>
  </si>
  <si>
    <t>MUFL01</t>
  </si>
  <si>
    <t>Muthoot Finance Limited</t>
  </si>
  <si>
    <t>INE414G01012</t>
  </si>
  <si>
    <t>ADTL01</t>
  </si>
  <si>
    <t>Adani Energy Solutions Limited</t>
  </si>
  <si>
    <t>INE931S01010</t>
  </si>
  <si>
    <t>UNBI01</t>
  </si>
  <si>
    <t>Union Bank of India</t>
  </si>
  <si>
    <t>INE692A01016</t>
  </si>
  <si>
    <t>ASEA02</t>
  </si>
  <si>
    <t>ABB India Limited</t>
  </si>
  <si>
    <t>INE117A01022</t>
  </si>
  <si>
    <t>SHCE01</t>
  </si>
  <si>
    <t>Shree Cement Limited</t>
  </si>
  <si>
    <t>INE070A01015</t>
  </si>
  <si>
    <t>SOEL02</t>
  </si>
  <si>
    <t>Solar Industries India Limited</t>
  </si>
  <si>
    <t>INE343H01029</t>
  </si>
  <si>
    <t>AGEL01</t>
  </si>
  <si>
    <t>Adani Green Energy Limited</t>
  </si>
  <si>
    <t>INE364U01010</t>
  </si>
  <si>
    <t>SIEM02</t>
  </si>
  <si>
    <t>Siemens Limited</t>
  </si>
  <si>
    <t>INE003A01024</t>
  </si>
  <si>
    <t>HYUN01</t>
  </si>
  <si>
    <t>Hyundai Motor India Ltd</t>
  </si>
  <si>
    <t>INE0V6F01027</t>
  </si>
  <si>
    <t>MOTI02</t>
  </si>
  <si>
    <t>Bosch Limited</t>
  </si>
  <si>
    <t>INE323A01026</t>
  </si>
  <si>
    <t>SENE01</t>
  </si>
  <si>
    <t>Siemens Energy India Limited</t>
  </si>
  <si>
    <t>INE1NPP01017</t>
  </si>
  <si>
    <t>HZIN02</t>
  </si>
  <si>
    <t>Hindustan Zinc Limited</t>
  </si>
  <si>
    <t>INE267A01025</t>
  </si>
  <si>
    <t>ORIC01</t>
  </si>
  <si>
    <t>Orient Cement Limited</t>
  </si>
  <si>
    <t>INE876N01018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</si>
  <si>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</si>
  <si>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</si>
  <si>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</si>
  <si>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</si>
  <si>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</si>
  <si>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</si>
  <si>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</si>
  <si>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TCAL01</t>
  </si>
  <si>
    <t>Tata Capital Limited</t>
  </si>
  <si>
    <t>INE976I01016</t>
  </si>
  <si>
    <t>GUAM02</t>
  </si>
  <si>
    <t>Ambuja Cements Limited</t>
  </si>
  <si>
    <t>INE079A01024</t>
  </si>
  <si>
    <t>ILOM01</t>
  </si>
  <si>
    <t>ICICI Lombard General Insurance Company Limited</t>
  </si>
  <si>
    <t>INE765G01017</t>
  </si>
  <si>
    <t>IEIN02</t>
  </si>
  <si>
    <t>Info Edge (India) Limited</t>
  </si>
  <si>
    <t>INE663F01032</t>
  </si>
  <si>
    <t>HAIL03</t>
  </si>
  <si>
    <t>Havells India Limited</t>
  </si>
  <si>
    <t>INE176B01034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</si>
  <si>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</si>
  <si>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</si>
  <si>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</si>
  <si>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</si>
  <si>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</si>
  <si>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</si>
  <si>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Special Situation</t>
  </si>
  <si>
    <t>Parag Parikh Flexi Cap Fund (An open-ended dynamic equity scheme investing across large cap, mid-cap, small-cap stocks)</t>
  </si>
  <si>
    <t>Parag Parikh Large Cap Fund (An open ended equity scheme predominantly investing in large cap stocks)</t>
  </si>
  <si>
    <t>Parag Parikh Dynamic Asset Allocation Fund  (An open ended dynamic asset allocation fund )</t>
  </si>
  <si>
    <t>Parag Parikh Arbitrage Fund  ( An open ended scheme investing in arbitrage opportunities )</t>
  </si>
  <si>
    <t>Parag Parikh Conservative Hybrid Fund (An open-ended hybrid scheme investing predominantly in debt instruments)</t>
  </si>
  <si>
    <t>Parag Parikh ELSS Tax Saver Fund (An open ended equity linked saving scheme with a statutory lock in of 3 years and tax benefit)</t>
  </si>
  <si>
    <t>Parag Parikh Liquid Fund (An Open Ended Liquid Scheme. A Relatively Low Interest Rate Risk and Relatively low Credit Risk)</t>
  </si>
  <si>
    <t>Computer Software: Programming, Data Processing ##</t>
  </si>
  <si>
    <t>Catalog/Specialty Distribution ##</t>
  </si>
  <si>
    <t>Computer Software: Prepackaged Software ##</t>
  </si>
  <si>
    <t>Kotak Mahindra Bank Limited (24/09/2026)</t>
  </si>
  <si>
    <t>Axis Bank Limited (11/08/2026)</t>
  </si>
  <si>
    <t>Canara Bank (12/06/2026)</t>
  </si>
  <si>
    <t>Union Bank of India (25/06/2026)</t>
  </si>
  <si>
    <t>HDFC Bank Limited (10/09/2026)</t>
  </si>
  <si>
    <t>National Bank For Agriculture and Rural Development (18/09/2026)</t>
  </si>
  <si>
    <t>Kotak Mahindra Bank Limited (18/12/2026)</t>
  </si>
  <si>
    <t>Canara Bank (18/12/2026)</t>
  </si>
  <si>
    <t>Canara Bank (11/11/2026)</t>
  </si>
  <si>
    <t>Union Bank of India (12/06/2026)</t>
  </si>
  <si>
    <t>Indian Bank (12/06/2026)</t>
  </si>
  <si>
    <t>Bank of Baroda (23/07/2026)</t>
  </si>
  <si>
    <t>Indian Bank (28/07/2026)</t>
  </si>
  <si>
    <t>Small Industries Dev Bank of India (24/09/2026)</t>
  </si>
  <si>
    <t>Small Industries Dev Bank of India (13/10/2026)</t>
  </si>
  <si>
    <t>Indian Bank (30/10/2026)</t>
  </si>
  <si>
    <t>Indian Bank (22/01/2027)</t>
  </si>
  <si>
    <t>Bank of Baroda (16/10/2026)</t>
  </si>
  <si>
    <t>National Bank For Agriculture and Rural Development (19/01/2027)</t>
  </si>
  <si>
    <t>Punjab National Bank (05/02/2027)</t>
  </si>
  <si>
    <t>National Bank For Agriculture and Rural Development (14/01/2027)</t>
  </si>
  <si>
    <t>Punjab National Bank (15/12/2026)</t>
  </si>
  <si>
    <t>Bank of Baroda (15/12/2026)</t>
  </si>
  <si>
    <t>Kotak Mahindra Bank Limited (08/01/2027)</t>
  </si>
  <si>
    <t>ICICI Bank Limited (27/01/2027)</t>
  </si>
  <si>
    <t>Axis Bank Limited (25/06/2026)</t>
  </si>
  <si>
    <t>Bank of Baroda (25/11/2026)</t>
  </si>
  <si>
    <t>Small Industries Dev Bank of India (16/12/2026)</t>
  </si>
  <si>
    <t>Union Bank of India (23/04/2026)</t>
  </si>
  <si>
    <t>Indian Bank (03/06/2026)</t>
  </si>
  <si>
    <t>Indian Bank (05/06/2026)</t>
  </si>
  <si>
    <t>Small Industries Dev Bank of India (09/07/2026)</t>
  </si>
  <si>
    <t>National Bank For Agriculture and Rural Development (22/01/2027)</t>
  </si>
  <si>
    <t>National Bank For Agriculture and Rural Development (28/01/2027)</t>
  </si>
  <si>
    <t>Canara Bank (15/06/2026)</t>
  </si>
  <si>
    <t>Axis Bank Limited (10/08/2026)</t>
  </si>
  <si>
    <t>HDFC Bank Limited (21/09/2026)</t>
  </si>
  <si>
    <t>HDFC Bank Limited (13/11/2026)</t>
  </si>
  <si>
    <t>HDFC Bank Limited (22/01/2027)</t>
  </si>
  <si>
    <t>Bank of Baroda (04/06/2026)</t>
  </si>
  <si>
    <t>National Bank For Agriculture and Rural Development (04/02/2027)</t>
  </si>
  <si>
    <t>National Bank For Agriculture and Rural Development (25/06/2026)</t>
  </si>
  <si>
    <t>Bajaj Finance Limited (18/06/2026)</t>
  </si>
  <si>
    <t>Bajaj Finance Limited (06/05/2026)</t>
  </si>
  <si>
    <t>Bajaj Finance Limited (26/05/2026)</t>
  </si>
  <si>
    <t>ICICI Securities Limited (15/06/2026)</t>
  </si>
  <si>
    <t>Bajaj Finance Limited (07/05/2026)</t>
  </si>
  <si>
    <t>HDFC Securities Limited (12/05/2026)</t>
  </si>
  <si>
    <t>HDFC Securities Limited (15/05/2026)</t>
  </si>
  <si>
    <t>Export Import Bank of India (27/05/2026)</t>
  </si>
  <si>
    <t>Small Industries Dev Bank of India (05/06/2026)</t>
  </si>
  <si>
    <t>Kotak Securities Limited (07/05/2026)</t>
  </si>
  <si>
    <t>Bajaj Finance Limited (29/04/2026)</t>
  </si>
  <si>
    <t>Kotak Securities Limited (04/06/2026)</t>
  </si>
  <si>
    <t>Long / (Short)</t>
  </si>
  <si>
    <t>Market value 
(Rs. in Lakhs)</t>
  </si>
  <si>
    <t>% to AUM</t>
  </si>
  <si>
    <t>Notes &amp; Symbols</t>
  </si>
  <si>
    <t>(Short)</t>
  </si>
  <si>
    <t># Traded</t>
  </si>
  <si>
    <t xml:space="preserve">$  Less Than 0.01% of Net Asset Value </t>
  </si>
  <si>
    <t>~ Yield to Maturity (YTM) as on March 31, 2026</t>
  </si>
  <si>
    <t>^ Pursuant to AMFI circular no. 135/BP/91/2020-21, Yield to Call (YTC) for AT-1 bonds and Tier-2 bonds as on March 31, 2026</t>
  </si>
  <si>
    <t>$0.00%</t>
  </si>
  <si>
    <t>IND A1+</t>
  </si>
  <si>
    <t>Bank of Baroda (17/06/2026)</t>
  </si>
  <si>
    <t>Indian Bank (11/06/2026)</t>
  </si>
  <si>
    <t>HDFC Bank Limited (08/06/2026)</t>
  </si>
  <si>
    <t>Punjab National Bank (11/06/2026)</t>
  </si>
  <si>
    <t>Punjab National Bank (23/06/2026)</t>
  </si>
  <si>
    <t>Canara Bank (27/05/2026)</t>
  </si>
  <si>
    <t>Union Bank of India (03/06/2026)</t>
  </si>
  <si>
    <t>Indian Bank (19/06/2026)</t>
  </si>
  <si>
    <t>Kotak Mahindra Bank Limited (25/05/2026)</t>
  </si>
  <si>
    <t>Union Bank of India (19/06/2026)</t>
  </si>
  <si>
    <t>Axis Bank Limited (24/06/2026)</t>
  </si>
  <si>
    <t>Indian Bank (13/05/2026)</t>
  </si>
  <si>
    <t>Union Bank of India (26/05/2026)</t>
  </si>
  <si>
    <t>Union Bank of India (23/06/2026)</t>
  </si>
  <si>
    <t>Union Bank of India (01/06/2026)</t>
  </si>
  <si>
    <t>Canara Bank (08/01/2027)</t>
  </si>
  <si>
    <t>Indian Bank (12/01/2027)</t>
  </si>
  <si>
    <t>Bajaj Finance Limited (19/06/2026)</t>
  </si>
  <si>
    <t>Small Industries Dev Bank of India (23/06/2026)</t>
  </si>
  <si>
    <t>National Bank For Agriculture and Rural Development (09/06/2026)</t>
  </si>
  <si>
    <t>Export Import Bank of India (05/06/2026)</t>
  </si>
  <si>
    <t>National Bank For Agriculture and Rural Development (17/06/2026)</t>
  </si>
  <si>
    <t>Kotak Securities Limited (09/06/2026)</t>
  </si>
  <si>
    <t>Export Import Bank of India (25/05/2026)</t>
  </si>
  <si>
    <t>HDFC Securities Limited (11/06/2026)</t>
  </si>
  <si>
    <t>REC Limited (10/06/2026)</t>
  </si>
  <si>
    <t>Kotak Securities Limited (27/05/2026)</t>
  </si>
  <si>
    <t>Corporate Debt Market Development Fund - Class A2 Units</t>
  </si>
  <si>
    <t>7.08% Uttar Pradesh SDL (MD 17/02/2031)</t>
  </si>
  <si>
    <t>7.08% Karnataka SDL (MD 12/08/2031)</t>
  </si>
  <si>
    <t>7.72% Maharashtra SDL (MD 01/03/2031)</t>
  </si>
  <si>
    <t>7.38% Karnataka SDL (MD 04/09/2034)</t>
  </si>
  <si>
    <t>7.82% Tamilnadu SDL (MD 27/10/2032)</t>
  </si>
  <si>
    <t>7.93% Uttar Pradesh SDL (MD 24/03/2030)</t>
  </si>
  <si>
    <t>7.76% Maharashtra SDL (MD 04/10/2030)</t>
  </si>
  <si>
    <t>7.55% Gujarat SDL (MD 28/12/2030)</t>
  </si>
  <si>
    <t>6.78% Maharashtra SDL (MD 25/05/2031)</t>
  </si>
  <si>
    <t>7.61% Gujarat SDL (MD 03/08/2032)</t>
  </si>
  <si>
    <t>7.33% Maharashtra SDL (MD 31/05/2031)</t>
  </si>
  <si>
    <t>7.39% Tamilnadu SDL (MD 12/06/2032)</t>
  </si>
  <si>
    <t>7.40 % NABARD NCD Sr 25D (MD 29/04/2030)</t>
  </si>
  <si>
    <t>7.12% Tamilnadu SDL (MD 18/02/2032)</t>
  </si>
  <si>
    <t>7.01% Gujarat SDL (MD 03/09/2031)</t>
  </si>
  <si>
    <t>7.14% Madhya Pradesh SDL (MD 19/03/2032)</t>
  </si>
  <si>
    <t>7.64% Maharashtra SDL (MD 28/09/2032)</t>
  </si>
  <si>
    <t>7.17% Uttar Pradesh SDL (MD 10/03/2031)</t>
  </si>
  <si>
    <t>7.7% Karnataka SDL (MD 08/11/2033)</t>
  </si>
  <si>
    <t>7.73% Maharashtra SDL (MD 29/03/2032)</t>
  </si>
  <si>
    <t>7.39% Maharashtra SDL (MD 03/07/2030)</t>
  </si>
  <si>
    <t>7.6% Karnataka SDL (MD 04/01/2033)</t>
  </si>
  <si>
    <t>6.83% Maharashtra SDL (MD 25/05/2032)</t>
  </si>
  <si>
    <t>7.79% Tamilnadu SDL (MD 04/10/2032)</t>
  </si>
  <si>
    <t>7.72% Maharashtra SDL (MD 23/03/2032)</t>
  </si>
  <si>
    <t>7.75% Uttarpradesh SDL (MD 29/11/2033)</t>
  </si>
  <si>
    <t>7.55% Gujarat SDL (MD 20/12/2031)</t>
  </si>
  <si>
    <t>7.5% Tamilnadu SDL (MD 24/04/2031)</t>
  </si>
  <si>
    <t>7.02% GOI (MD 18/06/2031)</t>
  </si>
  <si>
    <t>8.12% Bajaj Fin Ltd NCD SR289 OPTIII (MD 10/09/27)</t>
  </si>
  <si>
    <t>7.75% LIC Housing Fin Ltd NCD Tr444 (MD23/08/29)</t>
  </si>
  <si>
    <t>7.27% Tamilnadu SDL (MD 31/07/2032)</t>
  </si>
  <si>
    <t>7.38% Bajaj Finance Ltd NCD Opt II (MD 28/06/2030)</t>
  </si>
  <si>
    <t>7.07% LIC Hsg Fin Tr 455 NCD (MD 29/04/2030)</t>
  </si>
  <si>
    <t>6.89% Karnataka SDL (MD 15/12/2033)</t>
  </si>
  <si>
    <t>8.68% Andhra Pradesh SDL (MD 24/10/2030)</t>
  </si>
  <si>
    <t>7.5% Uttarakhand SDL (MD 18/04/2029)</t>
  </si>
  <si>
    <t>6.97% Tamilnadu SDL (MD 28/07/2031)</t>
  </si>
  <si>
    <t>8.48% Kerala SDL (MD 08/08/2030)</t>
  </si>
  <si>
    <t>7.7% Maharashtra SDL (MD 08/03/2031)</t>
  </si>
  <si>
    <t>7.07% IndiGrid Inf NCD SR AF (20/06/2030)</t>
  </si>
  <si>
    <t>6.75% Karnataka SDL (MD 14/10/2033)</t>
  </si>
  <si>
    <t>8.43% Andhra Pradesh SDL (MD 05/12/2030)</t>
  </si>
  <si>
    <t>7.84% Rajasthan SDL (MD 27/10/2032)</t>
  </si>
  <si>
    <t>7.83% Rajasthan SDL (MD 22/06/2032)</t>
  </si>
  <si>
    <t>7.69% Maharashtra SDL (MD 15/03/2031)</t>
  </si>
  <si>
    <t>7.78% Rajasthan SDL (MD 29/03/2033)</t>
  </si>
  <si>
    <t>7.65% Tamilnadu SDL (MD 18/10/2033)</t>
  </si>
  <si>
    <t>7.41% Andhra Pradesh SDL (MD 26/04/2030)</t>
  </si>
  <si>
    <t>7.34% Maharashtra SDL (MD 14/06/2031)</t>
  </si>
  <si>
    <t>7.2% Tamilnadu SDL (MD 27/11/2031)</t>
  </si>
  <si>
    <t>7.05% Rajasthan SDL (MD 17/02/2031)</t>
  </si>
  <si>
    <t>7.12% Gujarat SDL (MD 02/03/2032)</t>
  </si>
  <si>
    <t>7.1% Maharashtra SDL (MD 30/09/2032)</t>
  </si>
  <si>
    <t>7.1% Tamilnadu SDL (MD 27/11/2032)</t>
  </si>
  <si>
    <t>7.05% Maharashtra SDL (MD 07/10/2032)</t>
  </si>
  <si>
    <t>6.88% Karnataka SDL (MD 08/12/2032)</t>
  </si>
  <si>
    <t>7.03% Karnataka SDL (MD 26/09/2033)</t>
  </si>
  <si>
    <t>7.15% Karnataka SDL (MD 28/07/2031)</t>
  </si>
  <si>
    <t>8.61% Punjab SDL (MD 14/11/2028)</t>
  </si>
  <si>
    <t>8.22% Karnataka SDL (MD 30/01/2031)</t>
  </si>
  <si>
    <t>8.5% Andhra Pradesh SDL (MD 28/03/2029)</t>
  </si>
  <si>
    <t>7.8% Karnataka SDL (MD 08/04/2030)</t>
  </si>
  <si>
    <t>7.68% Karnataka SDL (MD 16/11/2031)</t>
  </si>
  <si>
    <t>7.7% Rajasthan SDL (MD 18/05/2032)</t>
  </si>
  <si>
    <t>7.32% West Bengal SDL (MD 26/06/2029)</t>
  </si>
  <si>
    <t>7.87% IndiGRID Infra Trust Ser Y (MD 24/02/2027)</t>
  </si>
  <si>
    <t>7.13% Kerala SDL (MD 10/07/2029)</t>
  </si>
  <si>
    <t>7.7% IndiGRID Infra Trust Ser 3 (MD 06/05/2028)</t>
  </si>
  <si>
    <t>7.42% Rajasthan SDL (MD 22/05/2032)</t>
  </si>
  <si>
    <t>7.35% Maharashtra SDL (MD 14/06/2032)</t>
  </si>
  <si>
    <t>7.33% Tamilnadu SDL (MD 24/07/2032)</t>
  </si>
  <si>
    <t>7.32% Maharashtra SDL (MD 31/05/2032)</t>
  </si>
  <si>
    <t>7.39% Tamilnadu SDL (MD 10/05/2033)</t>
  </si>
  <si>
    <t>7.22% Karnataka SDL (MD 05/09/2032)</t>
  </si>
  <si>
    <t>7.07% Gujarat SDL (MD 24/02/2031)</t>
  </si>
  <si>
    <t>7.21% Tamilnadu SDL (MD 05/09/2032)</t>
  </si>
  <si>
    <t>6.98% Tamilnadu SDL (MD 14/07/2031)</t>
  </si>
  <si>
    <t>6.97% Tamilnadu SDL (MD 18/08/2031)</t>
  </si>
  <si>
    <t>6.97% Tamilnadu SDL (MD 13/10/2031)</t>
  </si>
  <si>
    <t>6.8% Maharashtra SDL (MD 16/06/2031)</t>
  </si>
  <si>
    <t>6.83% Karnataka SDL (MD 15/12/2031)</t>
  </si>
  <si>
    <t>6.33% Tamilnadu SDL (MD 22/07/2030)</t>
  </si>
  <si>
    <t>6.95% Tamilnadu SDL (MD 17/02/2031)</t>
  </si>
  <si>
    <t>7.81% Gujarat SDL (MD 12/10/2032)</t>
  </si>
  <si>
    <t>7.57% LIC Hsg Fin NCD Tr 447 Op I (MD 18/10/2029)</t>
  </si>
  <si>
    <t>7.2337% Bajaj Fin Ltd Opt II NCD (MD 28/06/2027)</t>
  </si>
  <si>
    <t>7.05% Madhya Pradesh SDL (MD 26/03/2032)</t>
  </si>
  <si>
    <t>7.74% Maharashtra SDL (MD 01/03/2033)</t>
  </si>
  <si>
    <t>7.02% Karnataka SDL (MD 29/12/2031)</t>
  </si>
  <si>
    <t>7.68% Tamilnadu SDL (MD 25/10/2030)</t>
  </si>
  <si>
    <t>7.79% Rajasthan SDL (MD 04/10/2032)</t>
  </si>
  <si>
    <t>7.7% Maharashtra SDL (MD 25/05/2032)</t>
  </si>
  <si>
    <t>7.6% Tamilnadu SDL (MD 31/01/2031)</t>
  </si>
  <si>
    <t>7.39% Tamilnadu SDL (MD 26/07/2033)</t>
  </si>
  <si>
    <t>7.38% Tamilnadu SDL (MD 29/05/2033)</t>
  </si>
  <si>
    <t>6.83% Maharashtra SDL (MD 23/06/2031)</t>
  </si>
  <si>
    <t>6.52% Karnataka SDL (MD 16/12/2030)</t>
  </si>
  <si>
    <t>6.53% Tamilnadu SDL (MD 06/01/2031)</t>
  </si>
  <si>
    <t>6.62% Karnataka SDL (MD 30/12/2032)</t>
  </si>
  <si>
    <t>7.93% Karnataka SDL (MD 08/04/2031)</t>
  </si>
  <si>
    <t>7.73% Rajasthan SDL (MD 01/11/2033)</t>
  </si>
  <si>
    <t>7.66% Maharashtra SDL (MD 15/03/2033)</t>
  </si>
  <si>
    <t>7.67% Andhra Pradesh SDL (MD 25/05/2031)</t>
  </si>
  <si>
    <t>7.39% Tamilnadu SDL (MD 21/06/2033)</t>
  </si>
  <si>
    <t>7.15% Andhra Pradesh SDL (MD 04/03/2031)</t>
  </si>
  <si>
    <t>7.03% Rajasthan SDL (MD 29/12/2031)</t>
  </si>
  <si>
    <t>6.53% Karnataka SDL (MD 02/12/2030)</t>
  </si>
  <si>
    <t>6.94% Rajasthan SDL (MD 29/09/2033)</t>
  </si>
  <si>
    <t>Bank of Baroda (16/09/2026) #</t>
  </si>
  <si>
    <t>Small Industries Dev Bank of India (05/05/2026) #</t>
  </si>
  <si>
    <t>HDFC Bank Limited (24/06/2026) #</t>
  </si>
  <si>
    <t>Axis Bank Limited (11/06/2026) #</t>
  </si>
  <si>
    <t>Indian Bank (06/05/2026) #</t>
  </si>
  <si>
    <t>HDFC Bank Limited (12/06/2026) #</t>
  </si>
  <si>
    <t>HDFC Bank Limited (19/05/2026) #</t>
  </si>
  <si>
    <t>Bank of Baroda (25/05/2026) #</t>
  </si>
  <si>
    <t>Small Industries Dev Bank of India (10/11/2026) #</t>
  </si>
  <si>
    <t>Axis Bank Limited (27/11/2026) #</t>
  </si>
  <si>
    <t>Bank of Baroda (05/06/2026) #</t>
  </si>
  <si>
    <t>Axis Bank Limited (12/06/2026) #</t>
  </si>
  <si>
    <t>Power Finance Corporation Limited (15/04/2026) #</t>
  </si>
  <si>
    <t>Export Import Bank of India (01/06/2026) #</t>
  </si>
  <si>
    <t>National Bank For Agriculture and Rural Development (08/05/2026) #</t>
  </si>
  <si>
    <t>7.49% SIDBI NCD Ser VIII (MD 11/06/2029) #</t>
  </si>
  <si>
    <t>7.64% NABARD Sr 25B NCD (MD 06/12/2029) #</t>
  </si>
  <si>
    <t>7.3763% Bajaj Fina NCD (MD 26/06/2028) #</t>
  </si>
  <si>
    <t>7.39% SIDBI NCD Ser IX (MD 21/03/2030) #</t>
  </si>
  <si>
    <t>Bank of Baroda (03/06/2026) #</t>
  </si>
  <si>
    <t>HDFC Bank Limited (11/09/2026) #</t>
  </si>
  <si>
    <t>7.42% SIDBI NCD Sr VII (MD 12/03/2029) #</t>
  </si>
  <si>
    <t>Notes &amp; Symbols :-</t>
  </si>
  <si>
    <t>^ The Name of the Industry is in accordance with Industry Classification as recommended by AMFI.</t>
  </si>
  <si>
    <t># The Name of the Industry is in accordance with Industry Classification for Foreign Securities is as per NASDAQ.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</si>
  <si>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</si>
  <si>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</si>
  <si>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</si>
  <si>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</si>
  <si>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</si>
  <si>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</si>
  <si>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</si>
  <si>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</si>
  <si>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</si>
  <si>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</t>
  </si>
  <si>
    <t>Plan / Option</t>
  </si>
  <si>
    <t>Parag Parikh Flexi Cap Fund- Direct Plan Growth</t>
  </si>
  <si>
    <t>Parag Parikh Flexi Cap Fund- Regular Plan Growth</t>
  </si>
  <si>
    <t>Parag Parikh Flexi Cap Fund- Direct Plan - IDCW</t>
  </si>
  <si>
    <t>Parag Parikh Flexi Cap Fund- Regular Plan - IDCW</t>
  </si>
  <si>
    <t xml:space="preserve">       (Gross exposure means sum of all long and short positions in derivatives)</t>
  </si>
  <si>
    <t>13.  Deviation from the valuation prices given by valuation agencies: Nil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</si>
  <si>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</si>
  <si>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</si>
  <si>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</si>
  <si>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</si>
  <si>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</si>
  <si>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</si>
  <si>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Short</t>
  </si>
  <si>
    <t>APR26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</si>
  <si>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</si>
  <si>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</si>
  <si>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</si>
  <si>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</si>
  <si>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</si>
  <si>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</si>
  <si>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</si>
  <si>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</si>
  <si>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</si>
  <si>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</si>
  <si>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Total exposure through options as a % of net assets : 0.00%</t>
  </si>
  <si>
    <t>Total Number of contracts entered into</t>
  </si>
  <si>
    <t>Gross Notional Value of contracts entered into Rs.</t>
  </si>
  <si>
    <t>Net Profit/Loss value on all contracts (treat premium paid as loss) Rs.</t>
  </si>
  <si>
    <t>Date</t>
  </si>
  <si>
    <t>Scheme</t>
  </si>
  <si>
    <t>Benchmark</t>
  </si>
  <si>
    <t>Index</t>
  </si>
  <si>
    <t>Value of Investment of Rs. 10,000/-</t>
  </si>
  <si>
    <t>PPFCF</t>
  </si>
  <si>
    <t>PPFCF (Direct Plan)</t>
  </si>
  <si>
    <t>Nifty 500 (TRI)</t>
  </si>
  <si>
    <t xml:space="preserve">Nifty 50 (TRI) </t>
  </si>
  <si>
    <t>Since Inception (24 May, 2013)</t>
  </si>
  <si>
    <t>SIP Investment Performance - Parag Parikh Flexi Cap Fund - Regular Plan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</si>
  <si>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</si>
  <si>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</si>
  <si>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</si>
  <si>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</si>
  <si>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</si>
  <si>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Flexi Cap Fund - Direct Plan</t>
  </si>
  <si>
    <t>Quantitative indicators</t>
  </si>
  <si>
    <t>Standard Deviation</t>
  </si>
  <si>
    <t>Standard Deviation( Benchmark )</t>
  </si>
  <si>
    <t>Sharpe Ratio</t>
  </si>
  <si>
    <t>Beta</t>
  </si>
  <si>
    <t>Information Ratio</t>
  </si>
  <si>
    <t>Treynor Ratio</t>
  </si>
  <si>
    <t>VaR</t>
  </si>
  <si>
    <t>Risk free rate of return (FIMMDA MIBOR)</t>
  </si>
  <si>
    <t>Macaulay Duration (years)</t>
  </si>
  <si>
    <t>This Product is suitable for investors who are seeking*</t>
  </si>
  <si>
    <t xml:space="preserve">      -     To generate long-term capital growth from an actively managed portfolio primarily of Equity and Equity related Securities.</t>
  </si>
  <si>
    <t xml:space="preserve">      -     Scheme shall invest in Indian equities, foreign equities and related instruments and debt securities.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</si>
  <si>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</si>
  <si>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</si>
  <si>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</si>
  <si>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500 TRI)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</si>
  <si>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</si>
  <si>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</si>
  <si>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</si>
  <si>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</si>
  <si>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</si>
  <si>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</si>
  <si>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</si>
  <si>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</si>
  <si>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</si>
  <si>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</si>
  <si>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</si>
  <si>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</si>
  <si>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Record Date</t>
  </si>
  <si>
    <t>Daily IDCW* (Direct)</t>
  </si>
  <si>
    <t>Direct Plan- Daily Reinvestment of IDCW*</t>
  </si>
  <si>
    <t>Daily IDCW* (Regular)</t>
  </si>
  <si>
    <t>Regular Plan- Daily Reinvestment of IDCW*</t>
  </si>
  <si>
    <t>Weekly IDCW* (Direct)</t>
  </si>
  <si>
    <t>Direct Plan- Weekly Reinvestment of IDCW*</t>
  </si>
  <si>
    <t>Weekly IDCW* (Regular)</t>
  </si>
  <si>
    <t>Regular Plan- Weekly Reinvestment of IDCW*</t>
  </si>
  <si>
    <t>Monthly IDCW* (Direct)</t>
  </si>
  <si>
    <t>Direct Plan- Monthly IDCW*</t>
  </si>
  <si>
    <t>Monthly IDCW* (Regular)</t>
  </si>
  <si>
    <t>Regular Plan- Monthly IDCW*</t>
  </si>
  <si>
    <t>* Pursuant to SEBI Circular vide reference no. SEBI/HO/IMD/DF3/CIR/P/2020/194 dated November 5, 2020 regarding ‘Review of Dividend Option(s) / Plan(s) in case of Mutual Fund Schemes, effective April 1st ,2021 Dividend Option(s) / Plan(s) is renamed as Income Distribution cum capital withdrawal (“IDCW”) Option(s) / Plan(s).</t>
  </si>
  <si>
    <t>For more details on Dividend history visit our website on following path: https://amc.ppfas.com/schemes/parag-parikh-liquid-fund/dividend/</t>
  </si>
  <si>
    <t>Face Value per unit = Rs.1000/-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</si>
  <si>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</si>
  <si>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</si>
  <si>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</si>
  <si>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</si>
  <si>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</si>
  <si>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</si>
  <si>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</si>
  <si>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</si>
  <si>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</si>
  <si>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</si>
  <si>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</si>
  <si>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</si>
  <si>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Lumpsum Investment Performance (Compounded annual returns)</t>
  </si>
  <si>
    <t>PPLF</t>
  </si>
  <si>
    <t>PPLF  (Direct Plan)</t>
  </si>
  <si>
    <t>CRISIL Liquid Debt A-I Index</t>
  </si>
  <si>
    <t>CRISIL 1 Year T-Bill Index</t>
  </si>
  <si>
    <t>Since Inception (11 May, 2018)</t>
  </si>
  <si>
    <t>Avg maturity of the fund (days)</t>
  </si>
  <si>
    <t>Modified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</si>
  <si>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</si>
  <si>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</si>
  <si>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</si>
  <si>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</si>
  <si>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</si>
  <si>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</si>
  <si>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</si>
  <si>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</si>
  <si>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</si>
  <si>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</si>
  <si>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</si>
  <si>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</si>
  <si>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</si>
  <si>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</si>
  <si>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</si>
  <si>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 xml:space="preserve">      -    Income over the short term</t>
  </si>
  <si>
    <t xml:space="preserve">      -    Investments in Debt/money market instruments</t>
  </si>
  <si>
    <t>( CRISIL Liquid Debt A-1 Index )</t>
  </si>
  <si>
    <t>3.   Plan wise per unit Net Asset Value are as follows: (Rs.)</t>
  </si>
  <si>
    <t>Parag Parikh ELSS Tax Saver Fund-Direct Plan</t>
  </si>
  <si>
    <t>Parag Parikh ELSS Tax Saver Fund-Regular Plan</t>
  </si>
  <si>
    <t>12.  Deviation from the valuation prices given by valuation agencies: Nil</t>
  </si>
  <si>
    <t>PPTSF</t>
  </si>
  <si>
    <t>PPTSF (Direct Plan)</t>
  </si>
  <si>
    <t>Since Inception (24 July, 2019)</t>
  </si>
  <si>
    <t>SIP Investment Performance - Parag Parikh ELSS Tax Saver Fund - Regular Plan - Growth</t>
  </si>
  <si>
    <t>SIP Investment Performance - Parag Parikh ELSS Tax Saver Fund - Direct Plan - Growth</t>
  </si>
  <si>
    <t xml:space="preserve">      -    Long term capital appreciation</t>
  </si>
  <si>
    <t xml:space="preserve">      -    Investment predominantly in equity and equity related securities.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</si>
  <si>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</si>
  <si>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</si>
  <si>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</si>
  <si>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</si>
  <si>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 xml:space="preserve">        Equity &amp; Equity related</t>
  </si>
  <si>
    <t xml:space="preserve">        Others</t>
  </si>
  <si>
    <t>13.  Disclosure for investments in derivative instruments</t>
  </si>
  <si>
    <t>Margin maintained 
(Rs. In Lakhs)</t>
  </si>
  <si>
    <t>Coforge Limited</t>
  </si>
  <si>
    <t>Total exposure through options as a % of net assets : $0.00%</t>
  </si>
  <si>
    <t xml:space="preserve">Lumpsum Investment Performance </t>
  </si>
  <si>
    <t>PPCHF</t>
  </si>
  <si>
    <t>PPCHF (Direct Plan)</t>
  </si>
  <si>
    <t>CRISIL Hybrid 85+15 Conservative Index</t>
  </si>
  <si>
    <t>Crisil 10 year Gilt Index</t>
  </si>
  <si>
    <t>Since Inception (26 May, 2021)</t>
  </si>
  <si>
    <t>SIP Investment Performance - Parag Parikh Conservative Hybrid Fund - Regular Plan - Growth</t>
  </si>
  <si>
    <t>NA</t>
  </si>
  <si>
    <t>CRISIL Hybrid 85+15 - Conservative Index Returns (Annualised) (%)</t>
  </si>
  <si>
    <t>Crisil 10 year Gilt Index Returns (Annualised) (%)</t>
  </si>
  <si>
    <t>SIP Investment Performance - Parag Parikh Conservative Hybrid Fund - Direct Plan - Growth</t>
  </si>
  <si>
    <t>Avg maturity of the fund (Years)</t>
  </si>
  <si>
    <t>** YTM is calculated on the basis of annualised yield for all securities.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</si>
  <si>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</si>
  <si>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</si>
  <si>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>AMFI Tier 1 Benchmark’s Riskometer</t>
  </si>
  <si>
    <t>Scheme’s Riskometer</t>
  </si>
  <si>
    <t>(CRISIL Hybrid 85+15 Conservative Index TRI)</t>
  </si>
  <si>
    <t>Parag Parikh Arbitrage Fund - Direct Plan Growth</t>
  </si>
  <si>
    <t>Parag Parikh Arbitrage Fund - Regular Plan Growth</t>
  </si>
  <si>
    <t>PPAF</t>
  </si>
  <si>
    <t>PPAF (Direct Plan)</t>
  </si>
  <si>
    <t>Nifty 50 Arbitrage Index</t>
  </si>
  <si>
    <t>Since Inception (02 Nov, 2023)</t>
  </si>
  <si>
    <t>SIP Investment Performance - Parag Parikh Arbitrage Fund - Regular Plan - Growth</t>
  </si>
  <si>
    <t>Nifty 50 Arbitrage Index Returns (Annualised) (%)</t>
  </si>
  <si>
    <t>CRISIL 1 Year T-Bill Index Returns (Annualised) (%)</t>
  </si>
  <si>
    <t>SIP Investment Performance - Parag Parikh Arbitrage Fund - Direct Plan - Growth</t>
  </si>
  <si>
    <t xml:space="preserve">      -    To generate income by investing in arbitrage opportunities</t>
  </si>
  <si>
    <t xml:space="preserve">      -    Predominantly investing in arbitrage opportunities in the cash and derivatives segment of the equity market.</t>
  </si>
  <si>
    <t>(NIFTY 50Arbitrage (TRI))</t>
  </si>
  <si>
    <t>1.  Total value provided for securities classified as below investment grade or default and its percentage to NAV - Nil</t>
  </si>
  <si>
    <t>2.   Plan wise per unit Net Asset Value are as follows:</t>
  </si>
  <si>
    <t>Parag Parikh Dynamic Asset Allocation Fund - Direct Plan - Growth</t>
  </si>
  <si>
    <t>Parag Parikh Dynamic Asset Allocation Fund - Direct Plan - Monthly IDCW</t>
  </si>
  <si>
    <t>Parag Parikh Dynamic Asset Allocation Fund - Regular Plan - Growth</t>
  </si>
  <si>
    <t>Parag Parikh Dynamic Asset Allocation Fund - Regular Plan - Monthly IDCW</t>
  </si>
  <si>
    <t>PPDAAF</t>
  </si>
  <si>
    <t>PPDAAF (Direct Plan)</t>
  </si>
  <si>
    <t>CRISIL Hybrid 50+50 - Moderate Index</t>
  </si>
  <si>
    <t>Nifty 50 TRI</t>
  </si>
  <si>
    <t>Since Inception (27 Feb, 2024)</t>
  </si>
  <si>
    <t>CRISIL Hybrid 50+50 - Moderate Index (Annualised) (%)</t>
  </si>
  <si>
    <t>Nifty 50 TRI (Annualised) (%)</t>
  </si>
  <si>
    <t>SIP Investment Performance - Parag Parikh Dynamic Asset Allocation Fund - Direct Plan - Growth</t>
  </si>
  <si>
    <t>Avg maturity of the fund (years)</t>
  </si>
  <si>
    <t xml:space="preserve">     -    Capital Appreciation &amp; Income generation over medium to long term.</t>
  </si>
  <si>
    <t xml:space="preserve">     -  Investment in equity and equity related instruments as well as debt and money market instruments while managing risk through active asset allocation</t>
  </si>
  <si>
    <t>(CRISIL Hybrid 50+50 Moderate Index)</t>
  </si>
  <si>
    <t>Parag Parikh Large Cap Fund - Direct Plan Growth</t>
  </si>
  <si>
    <t>Parag Parikh Large Cap Fund - Direct Plan IDCW</t>
  </si>
  <si>
    <t>Parag Parikh Large Cap Fund - Regular Plan Growth</t>
  </si>
  <si>
    <t>Parag Parikh Large Cap Fund - Regular Plan IDCW</t>
  </si>
  <si>
    <t>10.  Deviation from the valuation prices given by valuation agencies: Nil</t>
  </si>
  <si>
    <t xml:space="preserve">      -     Wealth creation over long term.</t>
  </si>
  <si>
    <t xml:space="preserve">      -     To invest predominantly in equity and equity related instruments of large cap companies</t>
  </si>
  <si>
    <t>(Nifty 100 TRI)</t>
  </si>
  <si>
    <t>10.  Portfolio Turnover Ratio (Including Equity Arbitrage): 46.50</t>
  </si>
  <si>
    <t>11.  Portfolio Turnover Ratio (Excluding Equity Arbitrage): 17.91</t>
  </si>
  <si>
    <t>12.  Repo transactions in corporate debt securities during the period ending Mar 2026 is Nil.</t>
  </si>
  <si>
    <t xml:space="preserve">For the period 01-Mar-2026 to 31-Mar-2026, the following details specified for hedging transactions through futures which have been squared off/expired : </t>
  </si>
  <si>
    <t>B. Other than Hedging Positions through Futures as on 31-Mar-2026 : Nil</t>
  </si>
  <si>
    <t>C. Hedging Position through Put Option as on 31-Mar-2026 : Nil</t>
  </si>
  <si>
    <t>D. Other than Hedging Positions through Options as on 31-Mar-2026 : Nil</t>
  </si>
  <si>
    <t>E. Hedging Positions through swaps as on 31-Mar-2026: Nil</t>
  </si>
  <si>
    <t>March 28, 2025 to March 30, 2026 (Last 1 Year)</t>
  </si>
  <si>
    <t>March 31, 2023 to March 30, 2026 (Last 3 Years)</t>
  </si>
  <si>
    <t>March 31, 2021 to March 30, 2026 (Last 5 Years)</t>
  </si>
  <si>
    <t>March 31, 2016 to March 30, 2026 (Last 10 Years)</t>
  </si>
  <si>
    <t>Debt Quants as on  as on March 31, 2026</t>
  </si>
  <si>
    <t>Mar 2026</t>
  </si>
  <si>
    <t>02/03/2026</t>
  </si>
  <si>
    <t>09/03/2026</t>
  </si>
  <si>
    <t>16/03/2026</t>
  </si>
  <si>
    <t>23/03/2026</t>
  </si>
  <si>
    <t>30/03/2026</t>
  </si>
  <si>
    <t>3.   Total IDCW* (Net) declared during the period ended 31 March 2026</t>
  </si>
  <si>
    <t>8.   Average Portfolio Maturity is 64 days</t>
  </si>
  <si>
    <t>4.   Total Bonus declared during the period ended  31 March 2026 - Nil</t>
  </si>
  <si>
    <t>5.    Total outstanding exposure in derivative instruments as on 31 March 2026 - Nil</t>
  </si>
  <si>
    <t>6.    Total investment in Foreign Securities / ADRs / GDRs as on 31 March 2026 - Nil</t>
  </si>
  <si>
    <t>7.    Details of transactions of Credit Default Swap for the month ended 31 March 2026 - Nil</t>
  </si>
  <si>
    <t>9.  Repo transactions in corporate debt securities during the period ending 31 March 2026-Nil</t>
  </si>
  <si>
    <t>March 24, 2026 to March 31, 2026 (Last 7 days)</t>
  </si>
  <si>
    <t>March 16, 2026 to March 31, 2026 (Last 15 Days)</t>
  </si>
  <si>
    <t>February 28, 2026 to March 31, 2026 (Last 1 Month)</t>
  </si>
  <si>
    <t>December 31, 2025 to March 31, 2026 (Last 3 Month)</t>
  </si>
  <si>
    <t>September 30, 2025 to March 31, 2026 (Last 6 Month)</t>
  </si>
  <si>
    <t>March 31, 2025 to March 31, 2026 (Last 1 Year)</t>
  </si>
  <si>
    <t>March 31, 2023 to March 31, 2026 (Last 3 Years)</t>
  </si>
  <si>
    <t>March 31, 2021 to March 31, 2026 (Last 5 Years)</t>
  </si>
  <si>
    <t>4.   Total Dividend (Net) declared during the period ended 31 March 2026 -Nil</t>
  </si>
  <si>
    <t>5.   Total Bonus declared during the period ended  31 March 2026 - Nil</t>
  </si>
  <si>
    <t>6.    Total outstanding exposure in derivative instruments as on 31 March 2026 - Nil</t>
  </si>
  <si>
    <t>7.    Total investment in Foreign Securities / ADRs / GDRs as on 31 March 2026 - Nil</t>
  </si>
  <si>
    <t>11.  Repo transactions in corporate debt securities during the period ending  31 March 2026 - Nil</t>
  </si>
  <si>
    <t>10.  Portfolio Turnover Ratio :20.80</t>
  </si>
  <si>
    <t>5.    Total outstanding exposure in derivative instruments as on 31 March 2026: Rs.(228586987.5)</t>
  </si>
  <si>
    <t>9.  Repo transactions in corporate debt securities during the period ending 31 March 2026 - Nil</t>
  </si>
  <si>
    <t>Total exposure through futures as  % of net assets : (0.70%)</t>
  </si>
  <si>
    <t>A. Hedging Positions through Futures as on 31 March 2026</t>
  </si>
  <si>
    <t>B. Other than Hedging Positions through Futures as on  31 March 2026 : Nil</t>
  </si>
  <si>
    <t>C. Hedging Position through Put Option as on 31 March 2026 : Nil</t>
  </si>
  <si>
    <t>D. Other than Hedging Positions through Options as on 31 March 2026 :</t>
  </si>
  <si>
    <t>E. Hedging Positions through swaps as on 31 March 2026: Nil</t>
  </si>
  <si>
    <t>For the period 01-Mar-2026 to 31-Mar-2026, the following details specified for non-hedging transactions through options which have already been exercised/expired :</t>
  </si>
  <si>
    <t>March 28, 2025 to March 31, 2026 (Last 1 Year)</t>
  </si>
  <si>
    <t>YTM</t>
  </si>
  <si>
    <t>4.   Total Dividend (Net) declared during the period ended March 2026  - Nil</t>
  </si>
  <si>
    <t>7.    Total investment in Foreign Securities / ADRs / GDRs as on 31 Mar 2026: Rs. Nil</t>
  </si>
  <si>
    <t>9.    Total Brokerage paid for Buying/ Selling of Investment for Mar 2026 is Rs.3797844.88</t>
  </si>
  <si>
    <t>11.  Repo transactions in corporate debt securities during the period ending Mar 2026 is Nil.</t>
  </si>
  <si>
    <t>D. Other than Hedging Positions through Options as on 31-Mar-2026: Nil</t>
  </si>
  <si>
    <t>3.   Total Dividend (Net) declared during the period ended 31 March 2026  - Nil</t>
  </si>
  <si>
    <t>4.   Total Bonus declared during the period ended Mar 2026  - Nil</t>
  </si>
  <si>
    <t>6.    Total investment in Foreign Securities / ADRs / GDRs as on 31 Mar 2026: Rs. Nil</t>
  </si>
  <si>
    <t>Total exposure through futures as  % of net assets : (12.32%)</t>
  </si>
  <si>
    <t>B. Other than Hedging Positions through Futures as on  31-Mar-2026 :  Nil</t>
  </si>
  <si>
    <t xml:space="preserve">For the period 01-Mar-2026 to 31-Mar-2026, the following details specified for non-hedging transactions through options which have already been exercised/expired : </t>
  </si>
  <si>
    <t>3.   Total Dividend (Net) declared during the period ended 31 March 2026:Nil</t>
  </si>
  <si>
    <t>5.    Total outstanding exposure in derivative instruments as on 31 March 2026:Nil</t>
  </si>
  <si>
    <t>4.   Total Dividend (Net) declared during the period ended Mar 2026  - Nil</t>
  </si>
  <si>
    <t>5.   Total Bonus declared during the period ended Mar 2026  - Nil</t>
  </si>
  <si>
    <t>6.    Total outstanding exposure in derivative instruments as on 31 Mar 2026: Rs. (5267744235)</t>
  </si>
  <si>
    <t>7.    Total investment in Foreign Securities / ADRs / GDRs as on 31 Mar 2026: Rs. 136585040813.14</t>
  </si>
  <si>
    <t>9.    Total Brokerage paid for Buying/ Selling of Investment for Mar 2026 is Rs.31037663.34</t>
  </si>
  <si>
    <t>8.   Average Portfolio Maturity is 1403 Days</t>
  </si>
  <si>
    <t>8.   Average Portfolio Maturity is 1064 Days</t>
  </si>
  <si>
    <t>6.    Total outstanding exposure in derivative instruments as on Mar 2026: Rs. (13604700275.75)</t>
  </si>
  <si>
    <t>10.  Portfolio Turnover Ratio (Including Equity Arbitrage): 959.58</t>
  </si>
  <si>
    <t>5.    Total outstanding exposure in derivative instruments as on Mar 2026: Rs. (3279119299.25)</t>
  </si>
  <si>
    <t>8.  Repo transactions in corporate debt securities during the period ending 31 March 2026-Nil</t>
  </si>
  <si>
    <t>8.    Total Commission paid in the month of Mar 2026: Rs.22,09,88,147.53</t>
  </si>
  <si>
    <t>8.    Total Commission paid in the month of Mar 2026: Rs.10,61,822.25</t>
  </si>
  <si>
    <t xml:space="preserve">For the period  01-Mar-2026 to 31-Mar-2026, the following details specified for non-hedging transactions through options which have already been exercised/expired : </t>
  </si>
  <si>
    <t>11.  Disclosure for investments in derivative instruments- Nil</t>
  </si>
  <si>
    <t>9.  Total Brokerage paid for Buying/ Selling of Investment for March 2026 is Rs.597918.13</t>
  </si>
  <si>
    <t xml:space="preserve">3.   Total IDCW* (Net) declared during the period ended 31 March 2026 </t>
  </si>
  <si>
    <t>IDCW* Per Unit
(Huf &amp; Individuals)</t>
  </si>
  <si>
    <t>IDCW* Per Unit 
(Others)</t>
  </si>
  <si>
    <t>A. Hedging Positions through Futures as on 31 March 2026 -Nil</t>
  </si>
  <si>
    <t>B. For the period 01-Mar-2026 to 31-Mar-2026, the following details specified for Other than hedging transactions through futures which have been squared off/expired :</t>
  </si>
  <si>
    <t>Total %age of existing assets hedged through futures: (0.40%)</t>
  </si>
  <si>
    <t>14.  Disclosure for investments in derivative instruments:</t>
  </si>
  <si>
    <t>8.    Total Commission paid in the month of Mar 2026: Rs.1,60,30,022.12</t>
  </si>
  <si>
    <t>9.    Total Brokerage paid for Buying/ Selling of Investment for Mar 2026 is Rs.1461764.33</t>
  </si>
  <si>
    <t xml:space="preserve">A. For the period 01-Mar-2026 to 31-Mar-2026, the following details specified for hedging transactions through futures which have been squared off/expired : </t>
  </si>
  <si>
    <t>IDCW* Per Unit
(Others)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</si>
</sst>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_);_(* \(#,##0\);_(* &quot;-&quot;??_);_(@_)"/>
    <numFmt numFmtId="168" formatCode="dd/mm/yyyy;@"/>
    <numFmt numFmtId="169" formatCode="_(* #,##0.00_);_(* \(#,##0.00\);_(* &quot;-&quot;??_);_(@_)"/>
    <numFmt numFmtId="170" formatCode="[$-809]dd\ mmmm\ yyyy;@"/>
    <numFmt numFmtId="171" formatCode="0.0000"/>
    <numFmt numFmtId="172" formatCode="#,##0.0000"/>
    <numFmt numFmtId="173" formatCode="[$-409]mmmm/yy;@"/>
    <numFmt numFmtId="174" formatCode="_(* #,##0_);_(* \(#,##0\);_(* &quot;-&quot;_);_(* @_)"/>
    <numFmt numFmtId="175" formatCode="_(* #,##0.00_);_(* \(#,##0.00\);_(* &quot;-&quot;_);_(* @_)"/>
    <numFmt numFmtId="176" formatCode="[$-409]d/mmm/yy;@"/>
    <numFmt numFmtId="177" formatCode="0.00000000"/>
  </numFmts>
  <fonts count="1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9"/>
      <color rgb="FF232552"/>
      <name val="Arial"/>
      <family val="2"/>
    </font>
    <font>
      <b/>
      <sz val="9"/>
      <color indexed="8"/>
      <name val="Arial"/>
      <family val="2"/>
    </font>
  </fonts>
  <fills count="3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6" fillId="0" borderId="0" applyFont="0" applyFill="0" applyBorder="0" applyAlignment="0" applyProtection="0"/>
    <xf numFmtId="43" fontId="6" fillId="31" borderId="3" applyFont="0" applyFill="0" applyBorder="0" applyAlignment="0" applyProtection="0"/>
    <xf numFmtId="169" fontId="9" fillId="31" borderId="3" applyFont="0" applyFill="0" applyBorder="0" applyAlignment="0" applyProtection="0"/>
    <xf numFmtId="0" fontId="6" fillId="31" borderId="3"/>
    <xf numFmtId="0" fontId="9" fillId="31" borderId="3"/>
    <xf numFmtId="9" fontId="6" fillId="31" borderId="3" applyFont="0" applyFill="0" applyBorder="0" applyAlignment="0" applyProtection="0"/>
    <xf numFmtId="0" fontId="6" fillId="31" borderId="3"/>
    <xf numFmtId="0" fontId="6" fillId="31" borderId="3"/>
  </cellStyleXfs>
  <cellXfs count="50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12" borderId="4" xfId="0" applyFont="1" applyFill="1" applyBorder="1" applyAlignment="1">
      <alignment horizontal="left" vertical="top" wrapText="1"/>
    </xf>
    <xf numFmtId="0" fontId="3" fillId="14" borderId="3" xfId="0" applyFont="1" applyFill="1" applyBorder="1" applyAlignment="1">
      <alignment horizontal="left" vertical="top" wrapText="1"/>
    </xf>
    <xf numFmtId="3" fontId="1" fillId="16" borderId="4" xfId="0" applyNumberFormat="1" applyFont="1" applyFill="1" applyBorder="1" applyAlignment="1">
      <alignment horizontal="right" vertical="top" wrapText="1"/>
    </xf>
    <xf numFmtId="164" fontId="1" fillId="17" borderId="5" xfId="0" applyNumberFormat="1" applyFont="1" applyFill="1" applyBorder="1" applyAlignment="1">
      <alignment horizontal="right" vertical="top" wrapText="1"/>
    </xf>
    <xf numFmtId="165" fontId="1" fillId="18" borderId="4" xfId="0" applyNumberFormat="1" applyFont="1" applyFill="1" applyBorder="1" applyAlignment="1">
      <alignment horizontal="right" vertical="top" wrapText="1"/>
    </xf>
    <xf numFmtId="0" fontId="1" fillId="19" borderId="5" xfId="0" applyFont="1" applyFill="1" applyBorder="1" applyAlignment="1">
      <alignment horizontal="right" vertical="top" wrapText="1"/>
    </xf>
    <xf numFmtId="164" fontId="2" fillId="21" borderId="6" xfId="0" applyNumberFormat="1" applyFont="1" applyFill="1" applyBorder="1" applyAlignment="1">
      <alignment horizontal="right" vertical="top" wrapText="1"/>
    </xf>
    <xf numFmtId="165" fontId="2" fillId="22" borderId="1" xfId="0" applyNumberFormat="1" applyFont="1" applyFill="1" applyBorder="1" applyAlignment="1">
      <alignment horizontal="right" vertical="top" wrapText="1"/>
    </xf>
    <xf numFmtId="0" fontId="2" fillId="23" borderId="1" xfId="0" applyFont="1" applyFill="1" applyBorder="1" applyAlignment="1">
      <alignment horizontal="right" vertical="top" wrapText="1"/>
    </xf>
    <xf numFmtId="0" fontId="1" fillId="24" borderId="7" xfId="0" applyFont="1" applyFill="1" applyBorder="1" applyAlignment="1">
      <alignment horizontal="left" vertical="top" wrapText="1"/>
    </xf>
    <xf numFmtId="166" fontId="1" fillId="25" borderId="5" xfId="0" applyNumberFormat="1" applyFont="1" applyFill="1" applyBorder="1" applyAlignment="1">
      <alignment horizontal="right" vertical="top" wrapText="1"/>
    </xf>
    <xf numFmtId="164" fontId="2" fillId="26" borderId="1" xfId="0" applyNumberFormat="1" applyFont="1" applyFill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3" fontId="1" fillId="0" borderId="4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165" fontId="1" fillId="0" borderId="4" xfId="0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0" fontId="2" fillId="4" borderId="2" xfId="0" applyFont="1" applyFill="1" applyBorder="1" applyAlignment="1">
      <alignment horizontal="left" vertical="top"/>
    </xf>
    <xf numFmtId="0" fontId="1" fillId="28" borderId="9" xfId="0" applyFont="1" applyFill="1" applyBorder="1" applyAlignment="1">
      <alignment horizontal="left" vertical="top" wrapText="1"/>
    </xf>
    <xf numFmtId="164" fontId="2" fillId="29" borderId="10" xfId="0" applyNumberFormat="1" applyFont="1" applyFill="1" applyBorder="1" applyAlignment="1">
      <alignment horizontal="right" vertical="top" wrapText="1"/>
    </xf>
    <xf numFmtId="166" fontId="2" fillId="30" borderId="10" xfId="0" applyNumberFormat="1" applyFont="1" applyFill="1" applyBorder="1" applyAlignment="1">
      <alignment horizontal="right" vertical="top" wrapText="1"/>
    </xf>
    <xf numFmtId="0" fontId="2" fillId="31" borderId="11" xfId="0" applyFont="1" applyFill="1" applyBorder="1" applyAlignment="1">
      <alignment horizontal="right" vertical="top" wrapText="1"/>
    </xf>
    <xf numFmtId="0" fontId="2" fillId="8" borderId="12" xfId="0" applyFont="1" applyFill="1" applyBorder="1" applyAlignment="1">
      <alignment horizontal="left" vertical="center" wrapText="1"/>
    </xf>
    <xf numFmtId="0" fontId="2" fillId="9" borderId="13" xfId="0" applyFont="1" applyFill="1" applyBorder="1" applyAlignment="1">
      <alignment horizontal="left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left" vertical="top" wrapText="1"/>
    </xf>
    <xf numFmtId="0" fontId="1" fillId="15" borderId="15" xfId="0" applyFont="1" applyFill="1" applyBorder="1" applyAlignment="1">
      <alignment horizontal="left" vertical="top" wrapText="1"/>
    </xf>
    <xf numFmtId="0" fontId="1" fillId="19" borderId="16" xfId="0" applyFont="1" applyFill="1" applyBorder="1" applyAlignment="1">
      <alignment horizontal="right" vertical="top" wrapText="1"/>
    </xf>
    <xf numFmtId="0" fontId="2" fillId="20" borderId="17" xfId="0" applyFont="1" applyFill="1" applyBorder="1" applyAlignment="1">
      <alignment horizontal="left" vertical="top" wrapText="1"/>
    </xf>
    <xf numFmtId="0" fontId="2" fillId="23" borderId="18" xfId="0" applyFont="1" applyFill="1" applyBorder="1" applyAlignment="1">
      <alignment horizontal="right" vertical="top" wrapText="1"/>
    </xf>
    <xf numFmtId="0" fontId="2" fillId="27" borderId="19" xfId="0" applyFont="1" applyFill="1" applyBorder="1" applyAlignment="1">
      <alignment horizontal="left" vertical="top" wrapText="1"/>
    </xf>
    <xf numFmtId="0" fontId="2" fillId="31" borderId="20" xfId="0" applyFont="1" applyFill="1" applyBorder="1" applyAlignment="1">
      <alignment horizontal="right" vertical="top" wrapText="1"/>
    </xf>
    <xf numFmtId="0" fontId="1" fillId="12" borderId="3" xfId="0" applyFont="1" applyFill="1" applyBorder="1" applyAlignment="1">
      <alignment horizontal="left" vertical="top" wrapText="1"/>
    </xf>
    <xf numFmtId="0" fontId="2" fillId="11" borderId="3" xfId="0" applyFont="1" applyFill="1" applyBorder="1" applyAlignment="1">
      <alignment horizontal="left" vertical="top" wrapText="1"/>
    </xf>
    <xf numFmtId="0" fontId="2" fillId="11" borderId="8" xfId="0" applyFont="1" applyFill="1" applyBorder="1" applyAlignment="1">
      <alignment horizontal="left" vertical="top" wrapText="1"/>
    </xf>
    <xf numFmtId="0" fontId="2" fillId="12" borderId="8" xfId="0" applyFont="1" applyFill="1" applyBorder="1" applyAlignment="1">
      <alignment horizontal="left" vertical="top" wrapText="1"/>
    </xf>
    <xf numFmtId="0" fontId="1" fillId="15" borderId="21" xfId="0" applyFont="1" applyFill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4" fillId="3" borderId="0" xfId="0" applyFont="1" applyFill="1" applyAlignment="1" applyProtection="1">
      <alignment wrapText="1"/>
      <protection locked="0"/>
    </xf>
    <xf numFmtId="0" fontId="4" fillId="0" borderId="0" xfId="0" applyFont="1"/>
    <xf numFmtId="0" fontId="2" fillId="7" borderId="2" xfId="0" applyFont="1" applyFill="1" applyBorder="1" applyAlignment="1">
      <alignment horizontal="left" vertical="top" wrapText="1"/>
    </xf>
    <xf numFmtId="0" fontId="1" fillId="13" borderId="5" xfId="0" applyFont="1" applyFill="1" applyBorder="1" applyAlignment="1">
      <alignment horizontal="right" vertical="top" wrapText="1"/>
    </xf>
    <xf numFmtId="0" fontId="1" fillId="13" borderId="16" xfId="0" applyFont="1" applyFill="1" applyBorder="1" applyAlignment="1">
      <alignment horizontal="right" vertical="top" wrapText="1"/>
    </xf>
    <xf numFmtId="0" fontId="4" fillId="3" borderId="3" xfId="0" applyFont="1" applyFill="1" applyBorder="1" applyAlignment="1" applyProtection="1">
      <alignment wrapText="1"/>
      <protection locked="0"/>
    </xf>
    <xf numFmtId="0" fontId="1" fillId="13" borderId="3" xfId="0" applyFont="1" applyFill="1" applyBorder="1" applyAlignment="1">
      <alignment horizontal="right" vertical="top" wrapText="1"/>
    </xf>
    <xf numFmtId="0" fontId="2" fillId="13" borderId="8" xfId="0" applyFont="1" applyFill="1" applyBorder="1" applyAlignment="1">
      <alignment horizontal="right" vertical="top" wrapText="1"/>
    </xf>
    <xf numFmtId="0" fontId="5" fillId="3" borderId="8" xfId="0" applyFont="1" applyFill="1" applyBorder="1" applyAlignment="1" applyProtection="1">
      <alignment wrapText="1"/>
      <protection locked="0"/>
    </xf>
    <xf numFmtId="0" fontId="2" fillId="11" borderId="8" xfId="0" applyFont="1" applyFill="1" applyBorder="1" applyAlignment="1">
      <alignment horizontal="center" vertical="top" wrapText="1"/>
    </xf>
    <xf numFmtId="0" fontId="2" fillId="12" borderId="8" xfId="0" applyFont="1" applyFill="1" applyBorder="1" applyAlignment="1">
      <alignment horizontal="center" vertical="top" wrapText="1"/>
    </xf>
    <xf numFmtId="0" fontId="2" fillId="13" borderId="8" xfId="0" applyFont="1" applyFill="1" applyBorder="1" applyAlignment="1">
      <alignment horizontal="center" vertical="top" wrapText="1"/>
    </xf>
    <xf numFmtId="0" fontId="7" fillId="0" borderId="22" xfId="0" applyFont="1" applyBorder="1"/>
    <xf numFmtId="0" fontId="8" fillId="0" borderId="23" xfId="0" applyFont="1" applyBorder="1"/>
    <xf numFmtId="167" fontId="8" fillId="0" borderId="23" xfId="2" applyNumberFormat="1" applyFont="1" applyFill="1" applyBorder="1"/>
    <xf numFmtId="43" fontId="8" fillId="0" borderId="23" xfId="2" applyFont="1" applyFill="1" applyBorder="1"/>
    <xf numFmtId="43" fontId="8" fillId="0" borderId="24" xfId="2" applyFont="1" applyFill="1" applyBorder="1"/>
    <xf numFmtId="0" fontId="8" fillId="0" borderId="25" xfId="0" applyFont="1" applyBorder="1"/>
    <xf numFmtId="0" fontId="8" fillId="0" borderId="3" xfId="0" applyFont="1" applyBorder="1"/>
    <xf numFmtId="43" fontId="8" fillId="0" borderId="3" xfId="2" applyFont="1" applyFill="1" applyBorder="1"/>
    <xf numFmtId="43" fontId="8" fillId="0" borderId="26" xfId="2" applyFont="1" applyFill="1" applyBorder="1"/>
    <xf numFmtId="167" fontId="8" fillId="0" borderId="3" xfId="2" applyNumberFormat="1" applyFont="1" applyFill="1" applyBorder="1"/>
    <xf numFmtId="0" fontId="7" fillId="0" borderId="25" xfId="0" applyFont="1" applyBorder="1"/>
    <xf numFmtId="169" fontId="8" fillId="0" borderId="3" xfId="3" applyFont="1" applyFill="1" applyBorder="1" applyAlignment="1">
      <alignment horizontal="right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25" xfId="0" applyFont="1" applyBorder="1" applyAlignment="1">
      <alignment vertical="top"/>
    </xf>
    <xf numFmtId="170" fontId="7" fillId="0" borderId="3" xfId="4" applyNumberFormat="1" applyFont="1" applyFill="1"/>
    <xf numFmtId="170" fontId="8" fillId="0" borderId="8" xfId="4" applyNumberFormat="1" applyFont="1" applyFill="1" applyBorder="1"/>
    <xf numFmtId="0" fontId="8" fillId="0" borderId="3" xfId="4" applyFont="1" applyFill="1"/>
    <xf numFmtId="171" fontId="8" fillId="0" borderId="8" xfId="4" applyNumberFormat="1" applyFont="1" applyFill="1" applyBorder="1"/>
    <xf numFmtId="0" fontId="4" fillId="0" borderId="3" xfId="0" applyFont="1" applyBorder="1"/>
    <xf numFmtId="0" fontId="8" fillId="0" borderId="3" xfId="0" applyFont="1" applyBorder="1" applyAlignment="1">
      <alignment vertical="top"/>
    </xf>
    <xf numFmtId="167" fontId="8" fillId="0" borderId="26" xfId="2" applyNumberFormat="1" applyFont="1" applyFill="1" applyBorder="1"/>
    <xf numFmtId="4" fontId="8" fillId="0" borderId="3" xfId="2" applyNumberFormat="1" applyFont="1" applyFill="1" applyBorder="1" applyAlignment="1">
      <alignment vertical="top"/>
    </xf>
    <xf numFmtId="2" fontId="8" fillId="0" borderId="3" xfId="0" applyNumberFormat="1" applyFont="1" applyBorder="1" applyAlignment="1">
      <alignment horizontal="right"/>
    </xf>
    <xf numFmtId="0" fontId="8" fillId="0" borderId="25" xfId="5" applyFont="1" applyFill="1" applyBorder="1" applyAlignment="1">
      <alignment vertical="top"/>
    </xf>
    <xf numFmtId="4" fontId="8" fillId="0" borderId="3" xfId="0" applyNumberFormat="1" applyFont="1" applyBorder="1" applyAlignment="1">
      <alignment vertical="top"/>
    </xf>
    <xf numFmtId="2" fontId="8" fillId="0" borderId="3" xfId="0" applyNumberFormat="1" applyFont="1" applyBorder="1" applyAlignment="1">
      <alignment vertical="top"/>
    </xf>
    <xf numFmtId="2" fontId="8" fillId="0" borderId="25" xfId="0" applyNumberFormat="1" applyFont="1" applyBorder="1" applyAlignment="1">
      <alignment vertical="top"/>
    </xf>
    <xf numFmtId="0" fontId="8" fillId="0" borderId="3" xfId="5" applyFont="1" applyFill="1" applyAlignment="1">
      <alignment vertical="top"/>
    </xf>
    <xf numFmtId="172" fontId="7" fillId="0" borderId="3" xfId="5" applyNumberFormat="1" applyFont="1" applyFill="1"/>
    <xf numFmtId="0" fontId="8" fillId="0" borderId="8" xfId="0" applyFont="1" applyBorder="1"/>
    <xf numFmtId="173" fontId="8" fillId="0" borderId="8" xfId="4" applyNumberFormat="1" applyFont="1" applyFill="1" applyBorder="1"/>
    <xf numFmtId="43" fontId="8" fillId="0" borderId="8" xfId="2" applyFont="1" applyFill="1" applyBorder="1"/>
    <xf numFmtId="43" fontId="8" fillId="0" borderId="8" xfId="2" applyFont="1" applyFill="1" applyBorder="1" applyAlignment="1"/>
    <xf numFmtId="0" fontId="7" fillId="0" borderId="3" xfId="0" applyFont="1" applyBorder="1"/>
    <xf numFmtId="167" fontId="8" fillId="0" borderId="8" xfId="2" applyNumberFormat="1" applyFont="1" applyFill="1" applyBorder="1"/>
    <xf numFmtId="167" fontId="8" fillId="0" borderId="3" xfId="3" applyNumberFormat="1" applyFont="1" applyFill="1" applyBorder="1"/>
    <xf numFmtId="4" fontId="8" fillId="0" borderId="3" xfId="3" applyNumberFormat="1" applyFont="1" applyFill="1" applyBorder="1"/>
    <xf numFmtId="169" fontId="8" fillId="0" borderId="3" xfId="3" applyFont="1" applyFill="1" applyBorder="1"/>
    <xf numFmtId="174" fontId="8" fillId="0" borderId="3" xfId="3" applyNumberFormat="1" applyFont="1" applyFill="1" applyBorder="1"/>
    <xf numFmtId="0" fontId="8" fillId="0" borderId="25" xfId="3" applyNumberFormat="1" applyFont="1" applyFill="1" applyBorder="1" applyAlignment="1">
      <alignment horizontal="left"/>
    </xf>
    <xf numFmtId="0" fontId="8" fillId="0" borderId="3" xfId="3" applyNumberFormat="1" applyFont="1" applyFill="1" applyBorder="1" applyAlignment="1">
      <alignment horizontal="left"/>
    </xf>
    <xf numFmtId="175" fontId="8" fillId="0" borderId="3" xfId="0" applyNumberFormat="1" applyFont="1" applyBorder="1"/>
    <xf numFmtId="0" fontId="7" fillId="0" borderId="27" xfId="0" applyFont="1" applyBorder="1"/>
    <xf numFmtId="0" fontId="8" fillId="0" borderId="28" xfId="0" applyFont="1" applyBorder="1"/>
    <xf numFmtId="0" fontId="8" fillId="0" borderId="8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168" fontId="8" fillId="0" borderId="26" xfId="4" applyNumberFormat="1" applyFont="1" applyFill="1" applyBorder="1"/>
    <xf numFmtId="0" fontId="8" fillId="0" borderId="28" xfId="4" applyFont="1" applyFill="1" applyBorder="1"/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8" fillId="0" borderId="8" xfId="0" applyFont="1" applyBorder="1" applyAlignment="1">
      <alignment wrapText="1"/>
    </xf>
    <xf numFmtId="10" fontId="8" fillId="0" borderId="8" xfId="1" applyNumberFormat="1" applyFont="1" applyFill="1" applyBorder="1" applyAlignment="1" applyProtection="1">
      <alignment horizontal="center"/>
      <protection locked="0"/>
    </xf>
    <xf numFmtId="1" fontId="8" fillId="0" borderId="8" xfId="0" applyNumberFormat="1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wrapText="1"/>
    </xf>
    <xf numFmtId="10" fontId="8" fillId="0" borderId="0" xfId="0" applyNumberFormat="1" applyFont="1" applyAlignment="1">
      <alignment wrapText="1"/>
    </xf>
    <xf numFmtId="1" fontId="8" fillId="0" borderId="0" xfId="0" applyNumberFormat="1" applyFont="1" applyAlignment="1">
      <alignment wrapText="1"/>
    </xf>
    <xf numFmtId="0" fontId="8" fillId="0" borderId="0" xfId="0" applyFont="1"/>
    <xf numFmtId="0" fontId="7" fillId="0" borderId="8" xfId="0" applyFont="1" applyBorder="1"/>
    <xf numFmtId="0" fontId="5" fillId="0" borderId="8" xfId="0" applyFont="1" applyBorder="1" applyAlignment="1">
      <alignment horizontal="center" wrapText="1"/>
    </xf>
    <xf numFmtId="1" fontId="8" fillId="0" borderId="8" xfId="0" applyNumberFormat="1" applyFont="1" applyBorder="1"/>
    <xf numFmtId="4" fontId="8" fillId="0" borderId="8" xfId="0" applyNumberFormat="1" applyFont="1" applyBorder="1"/>
    <xf numFmtId="10" fontId="8" fillId="0" borderId="0" xfId="0" applyNumberFormat="1" applyFont="1" applyAlignment="1">
      <alignment horizontal="right" vertical="center" wrapText="1"/>
    </xf>
    <xf numFmtId="10" fontId="8" fillId="0" borderId="0" xfId="0" applyNumberFormat="1" applyFont="1" applyAlignment="1">
      <alignment horizontal="right" vertical="center"/>
    </xf>
    <xf numFmtId="0" fontId="4" fillId="0" borderId="8" xfId="0" applyFont="1" applyBorder="1"/>
    <xf numFmtId="10" fontId="8" fillId="0" borderId="8" xfId="1" applyNumberFormat="1" applyFont="1" applyFill="1" applyBorder="1" applyAlignment="1">
      <alignment horizontal="right" vertical="center"/>
    </xf>
    <xf numFmtId="10" fontId="8" fillId="0" borderId="8" xfId="0" applyNumberFormat="1" applyFont="1" applyBorder="1" applyAlignment="1">
      <alignment horizontal="right" vertical="center"/>
    </xf>
    <xf numFmtId="171" fontId="8" fillId="0" borderId="8" xfId="0" applyNumberFormat="1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 applyProtection="1">
      <alignment wrapText="1"/>
      <protection locked="0"/>
    </xf>
    <xf numFmtId="0" fontId="2" fillId="0" borderId="1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7" fillId="0" borderId="22" xfId="4" applyFont="1" applyFill="1" applyBorder="1"/>
    <xf numFmtId="0" fontId="7" fillId="0" borderId="23" xfId="4" applyFont="1" applyFill="1" applyBorder="1"/>
    <xf numFmtId="167" fontId="7" fillId="0" borderId="23" xfId="3" applyNumberFormat="1" applyFont="1" applyFill="1" applyBorder="1"/>
    <xf numFmtId="43" fontId="7" fillId="0" borderId="24" xfId="2" applyFont="1" applyFill="1" applyBorder="1" applyAlignment="1">
      <alignment horizontal="right"/>
    </xf>
    <xf numFmtId="0" fontId="8" fillId="0" borderId="25" xfId="4" applyFont="1" applyFill="1" applyBorder="1"/>
    <xf numFmtId="0" fontId="8" fillId="0" borderId="26" xfId="4" applyFont="1" applyFill="1" applyBorder="1"/>
    <xf numFmtId="0" fontId="8" fillId="0" borderId="8" xfId="4" applyFont="1" applyFill="1" applyBorder="1" applyAlignment="1">
      <alignment vertical="center"/>
    </xf>
    <xf numFmtId="0" fontId="8" fillId="0" borderId="8" xfId="4" applyFont="1" applyFill="1" applyBorder="1" applyAlignment="1">
      <alignment horizontal="center" vertical="center"/>
    </xf>
    <xf numFmtId="0" fontId="8" fillId="0" borderId="8" xfId="4" applyFont="1" applyFill="1" applyBorder="1" applyAlignment="1">
      <alignment horizontal="center" vertical="center" wrapText="1"/>
    </xf>
    <xf numFmtId="0" fontId="8" fillId="0" borderId="25" xfId="4" applyFont="1" applyFill="1" applyBorder="1" applyAlignment="1">
      <alignment horizontal="left" vertical="top"/>
    </xf>
    <xf numFmtId="0" fontId="8" fillId="0" borderId="3" xfId="4" applyFont="1" applyFill="1" applyAlignment="1">
      <alignment vertical="center"/>
    </xf>
    <xf numFmtId="0" fontId="8" fillId="0" borderId="26" xfId="4" applyFont="1" applyFill="1" applyBorder="1" applyAlignment="1">
      <alignment vertical="center"/>
    </xf>
    <xf numFmtId="0" fontId="8" fillId="0" borderId="25" xfId="4" applyFont="1" applyFill="1" applyBorder="1" applyAlignment="1">
      <alignment vertical="top"/>
    </xf>
    <xf numFmtId="0" fontId="8" fillId="0" borderId="8" xfId="4" applyFont="1" applyFill="1" applyBorder="1"/>
    <xf numFmtId="15" fontId="8" fillId="0" borderId="3" xfId="4" applyNumberFormat="1" applyFont="1" applyFill="1"/>
    <xf numFmtId="0" fontId="11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8" fillId="0" borderId="3" xfId="4" applyFont="1" applyFill="1" applyAlignment="1">
      <alignment vertical="top"/>
    </xf>
    <xf numFmtId="0" fontId="8" fillId="0" borderId="8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/>
    </xf>
    <xf numFmtId="176" fontId="8" fillId="0" borderId="8" xfId="0" quotePrefix="1" applyNumberFormat="1" applyFont="1" applyBorder="1" applyAlignment="1">
      <alignment horizontal="center" vertical="top"/>
    </xf>
    <xf numFmtId="0" fontId="8" fillId="0" borderId="26" xfId="0" applyFont="1" applyBorder="1"/>
    <xf numFmtId="15" fontId="8" fillId="0" borderId="8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168" fontId="8" fillId="0" borderId="8" xfId="0" applyNumberFormat="1" applyFont="1" applyBorder="1" applyAlignment="1">
      <alignment horizontal="center" vertical="top"/>
    </xf>
    <xf numFmtId="176" fontId="8" fillId="0" borderId="8" xfId="0" applyNumberFormat="1" applyFont="1" applyBorder="1" applyAlignment="1">
      <alignment horizontal="center" vertical="top"/>
    </xf>
    <xf numFmtId="177" fontId="8" fillId="0" borderId="8" xfId="0" applyNumberFormat="1" applyFont="1" applyBorder="1" applyAlignment="1">
      <alignment wrapText="1"/>
    </xf>
    <xf numFmtId="0" fontId="4" fillId="0" borderId="8" xfId="0" applyFont="1" applyBorder="1" applyAlignment="1">
      <alignment wrapText="1"/>
    </xf>
    <xf numFmtId="176" fontId="8" fillId="0" borderId="25" xfId="0" applyNumberFormat="1" applyFont="1" applyBorder="1" applyAlignment="1">
      <alignment horizontal="center" vertical="top"/>
    </xf>
    <xf numFmtId="177" fontId="8" fillId="0" borderId="3" xfId="0" applyNumberFormat="1" applyFont="1" applyBorder="1"/>
    <xf numFmtId="176" fontId="8" fillId="0" borderId="25" xfId="4" applyNumberFormat="1" applyFont="1" applyFill="1" applyBorder="1" applyAlignment="1">
      <alignment horizontal="center" vertical="top"/>
    </xf>
    <xf numFmtId="0" fontId="8" fillId="0" borderId="3" xfId="4" applyFont="1" applyFill="1" applyAlignment="1">
      <alignment vertical="top" wrapText="1"/>
    </xf>
    <xf numFmtId="0" fontId="8" fillId="0" borderId="25" xfId="4" applyFont="1" applyFill="1" applyBorder="1" applyAlignment="1">
      <alignment horizontal="left" vertical="top" indent="3"/>
    </xf>
    <xf numFmtId="0" fontId="8" fillId="0" borderId="8" xfId="4" applyFont="1" applyFill="1" applyBorder="1" applyAlignment="1">
      <alignment vertical="top"/>
    </xf>
    <xf numFmtId="2" fontId="8" fillId="0" borderId="8" xfId="4" applyNumberFormat="1" applyFont="1" applyFill="1" applyBorder="1" applyAlignment="1">
      <alignment vertical="top"/>
    </xf>
    <xf numFmtId="4" fontId="8" fillId="0" borderId="26" xfId="6" applyNumberFormat="1" applyFont="1" applyFill="1" applyBorder="1"/>
    <xf numFmtId="169" fontId="8" fillId="0" borderId="26" xfId="6" applyNumberFormat="1" applyFont="1" applyFill="1" applyBorder="1"/>
    <xf numFmtId="169" fontId="8" fillId="0" borderId="8" xfId="6" applyNumberFormat="1" applyFont="1" applyFill="1" applyBorder="1"/>
    <xf numFmtId="0" fontId="8" fillId="0" borderId="3" xfId="5" applyFont="1" applyFill="1"/>
    <xf numFmtId="0" fontId="8" fillId="0" borderId="27" xfId="4" applyFont="1" applyFill="1" applyBorder="1" applyAlignment="1">
      <alignment vertical="top"/>
    </xf>
    <xf numFmtId="0" fontId="8" fillId="0" borderId="28" xfId="5" applyFont="1" applyFill="1" applyBorder="1"/>
    <xf numFmtId="10" fontId="8" fillId="0" borderId="29" xfId="6" applyNumberFormat="1" applyFont="1" applyFill="1" applyBorder="1"/>
    <xf numFmtId="0" fontId="4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0" fillId="0" borderId="0" xfId="0" applyFont="1"/>
    <xf numFmtId="2" fontId="8" fillId="0" borderId="8" xfId="0" applyNumberFormat="1" applyFont="1" applyBorder="1"/>
    <xf numFmtId="2" fontId="8" fillId="0" borderId="0" xfId="0" applyNumberFormat="1" applyFont="1"/>
    <xf numFmtId="10" fontId="8" fillId="0" borderId="3" xfId="6" applyNumberFormat="1" applyFont="1" applyFill="1" applyBorder="1"/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center" vertical="center" wrapText="1"/>
    </xf>
    <xf numFmtId="10" fontId="8" fillId="0" borderId="8" xfId="0" applyNumberFormat="1" applyFont="1" applyBorder="1" applyAlignment="1">
      <alignment horizontal="center" wrapText="1"/>
    </xf>
    <xf numFmtId="4" fontId="8" fillId="0" borderId="8" xfId="0" applyNumberFormat="1" applyFont="1" applyBorder="1" applyAlignment="1">
      <alignment horizontal="right" vertical="center"/>
    </xf>
    <xf numFmtId="43" fontId="7" fillId="0" borderId="23" xfId="2" applyFont="1" applyFill="1" applyBorder="1" applyAlignment="1">
      <alignment horizontal="right"/>
    </xf>
    <xf numFmtId="0" fontId="4" fillId="0" borderId="23" xfId="0" applyFont="1" applyBorder="1"/>
    <xf numFmtId="0" fontId="4" fillId="0" borderId="24" xfId="0" applyFont="1" applyBorder="1"/>
    <xf numFmtId="0" fontId="4" fillId="0" borderId="26" xfId="0" applyFont="1" applyBorder="1"/>
    <xf numFmtId="0" fontId="8" fillId="0" borderId="25" xfId="4" applyFont="1" applyFill="1" applyBorder="1" applyAlignment="1">
      <alignment vertical="center"/>
    </xf>
    <xf numFmtId="170" fontId="8" fillId="0" borderId="3" xfId="4" applyNumberFormat="1" applyFont="1" applyFill="1"/>
    <xf numFmtId="0" fontId="7" fillId="0" borderId="8" xfId="4" applyFont="1" applyFill="1" applyBorder="1"/>
    <xf numFmtId="0" fontId="1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5" fontId="8" fillId="0" borderId="8" xfId="7" applyNumberFormat="1" applyFont="1" applyFill="1" applyBorder="1" applyAlignment="1">
      <alignment horizontal="center" vertical="top"/>
    </xf>
    <xf numFmtId="0" fontId="8" fillId="0" borderId="8" xfId="7" applyFont="1" applyFill="1" applyBorder="1" applyAlignment="1">
      <alignment horizontal="center" vertical="top" wrapText="1"/>
    </xf>
    <xf numFmtId="176" fontId="8" fillId="0" borderId="8" xfId="7" quotePrefix="1" applyNumberFormat="1" applyFont="1" applyFill="1" applyBorder="1" applyAlignment="1">
      <alignment horizontal="center" vertical="top"/>
    </xf>
    <xf numFmtId="0" fontId="8" fillId="0" borderId="8" xfId="7" applyFont="1" applyFill="1" applyBorder="1" applyAlignment="1">
      <alignment vertical="top" wrapText="1"/>
    </xf>
    <xf numFmtId="176" fontId="8" fillId="0" borderId="25" xfId="7" quotePrefix="1" applyNumberFormat="1" applyFont="1" applyFill="1" applyBorder="1" applyAlignment="1">
      <alignment horizontal="center" vertical="top"/>
    </xf>
    <xf numFmtId="0" fontId="8" fillId="0" borderId="3" xfId="7" applyFont="1" applyFill="1" applyAlignment="1">
      <alignment vertical="top" wrapText="1"/>
    </xf>
    <xf numFmtId="164" fontId="8" fillId="0" borderId="3" xfId="4" applyNumberFormat="1" applyFont="1" applyFill="1" applyAlignment="1">
      <alignment vertical="top"/>
    </xf>
    <xf numFmtId="4" fontId="8" fillId="0" borderId="3" xfId="6" applyNumberFormat="1" applyFont="1" applyFill="1" applyBorder="1"/>
    <xf numFmtId="169" fontId="8" fillId="0" borderId="3" xfId="6" applyNumberFormat="1" applyFont="1" applyFill="1" applyBorder="1"/>
    <xf numFmtId="169" fontId="8" fillId="0" borderId="8" xfId="4" applyNumberFormat="1" applyFont="1" applyFill="1" applyBorder="1" applyAlignment="1">
      <alignment vertical="top"/>
    </xf>
    <xf numFmtId="169" fontId="8" fillId="0" borderId="8" xfId="5" applyNumberFormat="1" applyFont="1" applyFill="1" applyBorder="1"/>
    <xf numFmtId="43" fontId="8" fillId="0" borderId="8" xfId="5" applyNumberFormat="1" applyFont="1" applyFill="1" applyBorder="1"/>
    <xf numFmtId="168" fontId="8" fillId="0" borderId="3" xfId="4" applyNumberFormat="1" applyFont="1" applyFill="1"/>
    <xf numFmtId="0" fontId="4" fillId="0" borderId="25" xfId="0" applyFont="1" applyBorder="1"/>
    <xf numFmtId="0" fontId="7" fillId="0" borderId="25" xfId="5" applyFont="1" applyFill="1" applyBorder="1" applyAlignment="1">
      <alignment vertical="top"/>
    </xf>
    <xf numFmtId="0" fontId="7" fillId="0" borderId="8" xfId="4" applyFont="1" applyFill="1" applyBorder="1" applyAlignment="1">
      <alignment vertical="top" wrapText="1"/>
    </xf>
    <xf numFmtId="0" fontId="1" fillId="0" borderId="8" xfId="0" applyFont="1" applyBorder="1" applyAlignment="1">
      <alignment horizontal="left" vertical="top"/>
    </xf>
    <xf numFmtId="0" fontId="8" fillId="0" borderId="8" xfId="5" applyFont="1" applyFill="1" applyBorder="1" applyAlignment="1">
      <alignment vertical="top"/>
    </xf>
    <xf numFmtId="0" fontId="5" fillId="0" borderId="3" xfId="0" applyFont="1" applyBorder="1"/>
    <xf numFmtId="43" fontId="4" fillId="0" borderId="26" xfId="2" applyFont="1" applyFill="1" applyBorder="1"/>
    <xf numFmtId="0" fontId="7" fillId="0" borderId="25" xfId="4" applyFont="1" applyFill="1" applyBorder="1"/>
    <xf numFmtId="0" fontId="7" fillId="0" borderId="3" xfId="4" applyFont="1" applyFill="1"/>
    <xf numFmtId="173" fontId="8" fillId="0" borderId="3" xfId="4" applyNumberFormat="1" applyFont="1" applyFill="1"/>
    <xf numFmtId="4" fontId="8" fillId="0" borderId="3" xfId="4" applyNumberFormat="1" applyFont="1" applyFill="1" applyAlignment="1">
      <alignment horizontal="center" vertical="center" wrapText="1"/>
    </xf>
    <xf numFmtId="175" fontId="8" fillId="0" borderId="3" xfId="4" applyNumberFormat="1" applyFont="1" applyFill="1"/>
    <xf numFmtId="4" fontId="8" fillId="0" borderId="3" xfId="4" applyNumberFormat="1" applyFont="1" applyFill="1"/>
    <xf numFmtId="0" fontId="8" fillId="0" borderId="25" xfId="4" applyFont="1" applyFill="1" applyBorder="1" applyAlignment="1">
      <alignment horizontal="left"/>
    </xf>
    <xf numFmtId="0" fontId="8" fillId="0" borderId="3" xfId="4" applyFont="1" applyFill="1" applyAlignment="1">
      <alignment horizontal="left"/>
    </xf>
    <xf numFmtId="0" fontId="7" fillId="0" borderId="27" xfId="4" applyFont="1" applyFill="1" applyBorder="1"/>
    <xf numFmtId="168" fontId="8" fillId="0" borderId="29" xfId="4" applyNumberFormat="1" applyFont="1" applyFill="1" applyBorder="1"/>
    <xf numFmtId="1" fontId="4" fillId="0" borderId="8" xfId="0" applyNumberFormat="1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4" fontId="8" fillId="0" borderId="8" xfId="0" applyNumberFormat="1" applyFont="1" applyBorder="1" applyAlignment="1">
      <alignment horizontal="center"/>
    </xf>
    <xf numFmtId="172" fontId="8" fillId="0" borderId="8" xfId="0" applyNumberFormat="1" applyFont="1" applyBorder="1"/>
    <xf numFmtId="0" fontId="8" fillId="0" borderId="8" xfId="0" applyFont="1" applyBorder="1" applyAlignment="1">
      <alignment horizontal="left"/>
    </xf>
    <xf numFmtId="171" fontId="4" fillId="0" borderId="8" xfId="0" applyNumberFormat="1" applyFont="1" applyBorder="1"/>
    <xf numFmtId="4" fontId="4" fillId="0" borderId="3" xfId="0" applyNumberFormat="1" applyFont="1" applyBorder="1"/>
    <xf numFmtId="0" fontId="5" fillId="0" borderId="8" xfId="7" applyFont="1" applyFill="1" applyBorder="1" applyAlignment="1">
      <alignment vertical="center"/>
    </xf>
    <xf numFmtId="0" fontId="5" fillId="0" borderId="8" xfId="7" applyFont="1" applyFill="1" applyBorder="1" applyAlignment="1">
      <alignment vertical="center" wrapText="1"/>
    </xf>
    <xf numFmtId="43" fontId="5" fillId="0" borderId="8" xfId="2" applyFont="1" applyFill="1" applyBorder="1" applyAlignment="1">
      <alignment vertical="center"/>
    </xf>
    <xf numFmtId="43" fontId="5" fillId="0" borderId="8" xfId="2" applyFont="1" applyFill="1" applyBorder="1" applyAlignment="1">
      <alignment vertical="center" wrapText="1"/>
    </xf>
    <xf numFmtId="2" fontId="1" fillId="0" borderId="8" xfId="7" applyNumberFormat="1" applyFont="1" applyFill="1" applyBorder="1" applyAlignment="1">
      <alignment horizontal="right" vertical="top"/>
    </xf>
    <xf numFmtId="164" fontId="1" fillId="0" borderId="8" xfId="0" applyNumberFormat="1" applyFont="1" applyBorder="1" applyAlignment="1">
      <alignment horizontal="right" vertical="top" wrapText="1"/>
    </xf>
    <xf numFmtId="167" fontId="7" fillId="0" borderId="3" xfId="3" applyNumberFormat="1" applyFont="1" applyFill="1" applyBorder="1"/>
    <xf numFmtId="43" fontId="7" fillId="0" borderId="26" xfId="2" applyFont="1" applyFill="1" applyBorder="1"/>
    <xf numFmtId="0" fontId="7" fillId="0" borderId="25" xfId="3" applyNumberFormat="1" applyFont="1" applyFill="1" applyBorder="1" applyAlignment="1">
      <alignment horizontal="left"/>
    </xf>
    <xf numFmtId="43" fontId="8" fillId="0" borderId="29" xfId="2" applyFont="1" applyFill="1" applyBorder="1"/>
    <xf numFmtId="0" fontId="5" fillId="0" borderId="8" xfId="0" applyFont="1" applyBorder="1" applyAlignment="1">
      <alignment wrapText="1"/>
    </xf>
    <xf numFmtId="0" fontId="7" fillId="0" borderId="0" xfId="0" applyFont="1" applyAlignment="1">
      <alignment wrapText="1"/>
    </xf>
    <xf numFmtId="10" fontId="8" fillId="0" borderId="8" xfId="0" applyNumberFormat="1" applyFont="1" applyBorder="1" applyAlignment="1">
      <alignment vertical="center" wrapText="1"/>
    </xf>
    <xf numFmtId="168" fontId="8" fillId="0" borderId="24" xfId="4" applyNumberFormat="1" applyFont="1" applyFill="1" applyBorder="1"/>
    <xf numFmtId="170" fontId="7" fillId="0" borderId="8" xfId="4" applyNumberFormat="1" applyFont="1" applyFill="1" applyBorder="1"/>
    <xf numFmtId="0" fontId="11" fillId="0" borderId="3" xfId="0" applyFont="1" applyBorder="1" applyAlignment="1">
      <alignment vertical="center" wrapText="1"/>
    </xf>
    <xf numFmtId="15" fontId="1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15" fontId="1" fillId="0" borderId="3" xfId="0" applyNumberFormat="1" applyFont="1" applyBorder="1" applyAlignment="1">
      <alignment horizontal="center" vertical="center"/>
    </xf>
    <xf numFmtId="0" fontId="8" fillId="0" borderId="3" xfId="7" applyFont="1" applyFill="1"/>
    <xf numFmtId="0" fontId="4" fillId="0" borderId="3" xfId="7" applyFont="1" applyFill="1"/>
    <xf numFmtId="4" fontId="8" fillId="0" borderId="3" xfId="4" applyNumberFormat="1" applyFont="1" applyFill="1" applyAlignment="1">
      <alignment vertical="top"/>
    </xf>
    <xf numFmtId="2" fontId="8" fillId="0" borderId="3" xfId="2" applyNumberFormat="1" applyFont="1" applyFill="1" applyBorder="1"/>
    <xf numFmtId="43" fontId="8" fillId="0" borderId="8" xfId="4" applyNumberFormat="1" applyFont="1" applyFill="1" applyBorder="1" applyAlignment="1">
      <alignment vertical="top"/>
    </xf>
    <xf numFmtId="2" fontId="8" fillId="0" borderId="3" xfId="6" applyNumberFormat="1" applyFont="1" applyFill="1" applyBorder="1"/>
    <xf numFmtId="10" fontId="8" fillId="0" borderId="3" xfId="2" applyNumberFormat="1" applyFont="1" applyFill="1" applyBorder="1"/>
    <xf numFmtId="165" fontId="8" fillId="0" borderId="3" xfId="2" applyNumberFormat="1" applyFont="1" applyFill="1" applyBorder="1"/>
    <xf numFmtId="169" fontId="4" fillId="0" borderId="26" xfId="7" applyNumberFormat="1" applyFont="1" applyFill="1" applyBorder="1"/>
    <xf numFmtId="0" fontId="8" fillId="0" borderId="25" xfId="5" applyFont="1" applyFill="1" applyBorder="1"/>
    <xf numFmtId="4" fontId="8" fillId="0" borderId="3" xfId="5" applyNumberFormat="1" applyFont="1" applyFill="1"/>
    <xf numFmtId="0" fontId="7" fillId="0" borderId="3" xfId="5" applyFont="1" applyFill="1"/>
    <xf numFmtId="0" fontId="7" fillId="0" borderId="25" xfId="7" applyFont="1" applyFill="1" applyBorder="1"/>
    <xf numFmtId="0" fontId="7" fillId="0" borderId="3" xfId="7" applyFont="1" applyFill="1"/>
    <xf numFmtId="0" fontId="5" fillId="0" borderId="3" xfId="7" applyFont="1" applyFill="1"/>
    <xf numFmtId="0" fontId="8" fillId="0" borderId="8" xfId="7" applyFont="1" applyFill="1" applyBorder="1"/>
    <xf numFmtId="0" fontId="8" fillId="0" borderId="25" xfId="7" applyFont="1" applyFill="1" applyBorder="1"/>
    <xf numFmtId="10" fontId="8" fillId="0" borderId="8" xfId="0" applyNumberFormat="1" applyFont="1" applyBorder="1" applyAlignment="1">
      <alignment horizontal="right" vertical="center" wrapText="1"/>
    </xf>
    <xf numFmtId="177" fontId="8" fillId="0" borderId="8" xfId="0" applyNumberFormat="1" applyFont="1" applyBorder="1"/>
    <xf numFmtId="10" fontId="8" fillId="0" borderId="0" xfId="1" applyNumberFormat="1" applyFont="1" applyFill="1"/>
    <xf numFmtId="10" fontId="8" fillId="0" borderId="8" xfId="1" applyNumberFormat="1" applyFont="1" applyFill="1" applyBorder="1"/>
    <xf numFmtId="0" fontId="2" fillId="0" borderId="8" xfId="0" applyFont="1" applyBorder="1" applyAlignment="1">
      <alignment horizontal="left" vertical="top"/>
    </xf>
    <xf numFmtId="2" fontId="2" fillId="0" borderId="8" xfId="7" applyNumberFormat="1" applyFont="1" applyFill="1" applyBorder="1" applyAlignment="1">
      <alignment horizontal="right" vertical="top"/>
    </xf>
    <xf numFmtId="164" fontId="2" fillId="0" borderId="8" xfId="0" applyNumberFormat="1" applyFont="1" applyBorder="1" applyAlignment="1">
      <alignment horizontal="right" vertical="top" wrapText="1"/>
    </xf>
    <xf numFmtId="4" fontId="8" fillId="0" borderId="8" xfId="4" applyNumberFormat="1" applyFont="1" applyFill="1" applyBorder="1" applyAlignment="1">
      <alignment vertical="center" wrapText="1"/>
    </xf>
    <xf numFmtId="0" fontId="8" fillId="0" borderId="33" xfId="0" applyFont="1" applyBorder="1" applyAlignment="1">
      <alignment horizontal="left" vertical="center"/>
    </xf>
    <xf numFmtId="165" fontId="1" fillId="18" borderId="8" xfId="0" applyNumberFormat="1" applyFont="1" applyFill="1" applyBorder="1" applyAlignment="1">
      <alignment horizontal="right" vertical="top" wrapText="1"/>
    </xf>
    <xf numFmtId="0" fontId="4" fillId="31" borderId="3" xfId="7" applyFont="1" applyAlignment="1" applyProtection="1">
      <alignment wrapText="1"/>
      <protection locked="0"/>
    </xf>
    <xf numFmtId="0" fontId="2" fillId="31" borderId="3" xfId="7" applyFont="1" applyAlignment="1">
      <alignment horizontal="left" vertical="top"/>
    </xf>
    <xf numFmtId="0" fontId="4" fillId="31" borderId="3" xfId="7" applyFont="1"/>
    <xf numFmtId="0" fontId="2" fillId="31" borderId="3" xfId="7" applyFont="1" applyAlignment="1">
      <alignment horizontal="center" vertical="top" wrapText="1"/>
    </xf>
    <xf numFmtId="0" fontId="1" fillId="31" borderId="3" xfId="7" applyFont="1" applyAlignment="1">
      <alignment horizontal="left" vertical="top" wrapText="1"/>
    </xf>
    <xf numFmtId="0" fontId="2" fillId="31" borderId="3" xfId="7" applyFont="1" applyAlignment="1">
      <alignment horizontal="left" vertical="top" wrapText="1"/>
    </xf>
    <xf numFmtId="0" fontId="2" fillId="31" borderId="12" xfId="7" applyFont="1" applyBorder="1" applyAlignment="1">
      <alignment horizontal="left" vertical="center" wrapText="1"/>
    </xf>
    <xf numFmtId="0" fontId="2" fillId="31" borderId="13" xfId="7" applyFont="1" applyBorder="1" applyAlignment="1">
      <alignment horizontal="left" vertical="center" wrapText="1"/>
    </xf>
    <xf numFmtId="0" fontId="2" fillId="31" borderId="13" xfId="7" applyFont="1" applyBorder="1" applyAlignment="1">
      <alignment horizontal="center" vertical="center" wrapText="1"/>
    </xf>
    <xf numFmtId="0" fontId="2" fillId="31" borderId="14" xfId="7" applyFont="1" applyBorder="1" applyAlignment="1">
      <alignment horizontal="center" vertical="center" wrapText="1"/>
    </xf>
    <xf numFmtId="0" fontId="2" fillId="31" borderId="15" xfId="7" applyFont="1" applyBorder="1" applyAlignment="1">
      <alignment horizontal="left" vertical="top" wrapText="1"/>
    </xf>
    <xf numFmtId="0" fontId="1" fillId="31" borderId="4" xfId="7" applyFont="1" applyBorder="1" applyAlignment="1">
      <alignment horizontal="left" vertical="top" wrapText="1"/>
    </xf>
    <xf numFmtId="0" fontId="1" fillId="31" borderId="5" xfId="7" applyFont="1" applyBorder="1" applyAlignment="1">
      <alignment horizontal="right" vertical="top" wrapText="1"/>
    </xf>
    <xf numFmtId="0" fontId="1" fillId="31" borderId="16" xfId="7" applyFont="1" applyBorder="1" applyAlignment="1">
      <alignment horizontal="right" vertical="top" wrapText="1"/>
    </xf>
    <xf numFmtId="0" fontId="3" fillId="31" borderId="3" xfId="7" applyFont="1" applyAlignment="1">
      <alignment horizontal="left" vertical="top" wrapText="1"/>
    </xf>
    <xf numFmtId="0" fontId="1" fillId="31" borderId="15" xfId="7" applyFont="1" applyBorder="1" applyAlignment="1">
      <alignment horizontal="left" vertical="top" wrapText="1"/>
    </xf>
    <xf numFmtId="3" fontId="1" fillId="31" borderId="4" xfId="7" applyNumberFormat="1" applyFont="1" applyBorder="1" applyAlignment="1">
      <alignment horizontal="right" vertical="top" wrapText="1"/>
    </xf>
    <xf numFmtId="164" fontId="1" fillId="31" borderId="5" xfId="7" applyNumberFormat="1" applyFont="1" applyBorder="1" applyAlignment="1">
      <alignment horizontal="right" vertical="top" wrapText="1"/>
    </xf>
    <xf numFmtId="165" fontId="1" fillId="31" borderId="4" xfId="7" applyNumberFormat="1" applyFont="1" applyBorder="1" applyAlignment="1">
      <alignment horizontal="right" vertical="top" wrapText="1"/>
    </xf>
    <xf numFmtId="0" fontId="2" fillId="31" borderId="17" xfId="7" applyFont="1" applyBorder="1" applyAlignment="1">
      <alignment horizontal="left" vertical="top" wrapText="1"/>
    </xf>
    <xf numFmtId="0" fontId="1" fillId="31" borderId="1" xfId="7" applyFont="1" applyBorder="1" applyAlignment="1">
      <alignment horizontal="left" vertical="top" wrapText="1"/>
    </xf>
    <xf numFmtId="164" fontId="2" fillId="31" borderId="6" xfId="7" applyNumberFormat="1" applyFont="1" applyBorder="1" applyAlignment="1">
      <alignment horizontal="right" vertical="top" wrapText="1"/>
    </xf>
    <xf numFmtId="165" fontId="2" fillId="31" borderId="1" xfId="7" applyNumberFormat="1" applyFont="1" applyBorder="1" applyAlignment="1">
      <alignment horizontal="right" vertical="top" wrapText="1"/>
    </xf>
    <xf numFmtId="0" fontId="2" fillId="31" borderId="1" xfId="7" applyFont="1" applyBorder="1" applyAlignment="1">
      <alignment horizontal="right" vertical="top" wrapText="1"/>
    </xf>
    <xf numFmtId="0" fontId="2" fillId="31" borderId="18" xfId="7" applyFont="1" applyBorder="1" applyAlignment="1">
      <alignment horizontal="right" vertical="top" wrapText="1"/>
    </xf>
    <xf numFmtId="0" fontId="1" fillId="31" borderId="7" xfId="7" applyFont="1" applyBorder="1" applyAlignment="1">
      <alignment horizontal="left" vertical="top" wrapText="1"/>
    </xf>
    <xf numFmtId="166" fontId="1" fillId="31" borderId="5" xfId="7" applyNumberFormat="1" applyFont="1" applyBorder="1" applyAlignment="1">
      <alignment horizontal="right" vertical="top" wrapText="1"/>
    </xf>
    <xf numFmtId="164" fontId="2" fillId="31" borderId="1" xfId="7" applyNumberFormat="1" applyFont="1" applyBorder="1" applyAlignment="1">
      <alignment horizontal="right" vertical="top" wrapText="1"/>
    </xf>
    <xf numFmtId="0" fontId="2" fillId="31" borderId="19" xfId="7" applyFont="1" applyBorder="1" applyAlignment="1">
      <alignment horizontal="left" vertical="top" wrapText="1"/>
    </xf>
    <xf numFmtId="0" fontId="1" fillId="31" borderId="9" xfId="7" applyFont="1" applyBorder="1" applyAlignment="1">
      <alignment horizontal="left" vertical="top" wrapText="1"/>
    </xf>
    <xf numFmtId="164" fontId="2" fillId="31" borderId="10" xfId="7" applyNumberFormat="1" applyFont="1" applyBorder="1" applyAlignment="1">
      <alignment horizontal="right" vertical="top" wrapText="1"/>
    </xf>
    <xf numFmtId="166" fontId="2" fillId="31" borderId="10" xfId="7" applyNumberFormat="1" applyFont="1" applyBorder="1" applyAlignment="1">
      <alignment horizontal="right" vertical="top" wrapText="1"/>
    </xf>
    <xf numFmtId="0" fontId="2" fillId="31" borderId="11" xfId="7" applyFont="1" applyBorder="1" applyAlignment="1">
      <alignment horizontal="right" vertical="top" wrapText="1"/>
    </xf>
    <xf numFmtId="0" fontId="2" fillId="31" borderId="20" xfId="7" applyFont="1" applyBorder="1" applyAlignment="1">
      <alignment horizontal="right" vertical="top" wrapText="1"/>
    </xf>
    <xf numFmtId="0" fontId="1" fillId="31" borderId="3" xfId="7" applyFont="1" applyAlignment="1">
      <alignment horizontal="right" vertical="top" wrapText="1"/>
    </xf>
    <xf numFmtId="0" fontId="2" fillId="31" borderId="8" xfId="7" applyFont="1" applyBorder="1" applyAlignment="1">
      <alignment horizontal="left" vertical="top" wrapText="1"/>
    </xf>
    <xf numFmtId="0" fontId="2" fillId="31" borderId="8" xfId="7" applyFont="1" applyBorder="1" applyAlignment="1">
      <alignment horizontal="right" vertical="top" wrapText="1"/>
    </xf>
    <xf numFmtId="0" fontId="5" fillId="31" borderId="8" xfId="7" applyFont="1" applyBorder="1" applyAlignment="1" applyProtection="1">
      <alignment wrapText="1"/>
      <protection locked="0"/>
    </xf>
    <xf numFmtId="0" fontId="1" fillId="31" borderId="21" xfId="7" applyFont="1" applyBorder="1" applyAlignment="1">
      <alignment horizontal="left" vertical="top" wrapText="1"/>
    </xf>
    <xf numFmtId="0" fontId="7" fillId="31" borderId="22" xfId="7" applyFont="1" applyBorder="1"/>
    <xf numFmtId="0" fontId="8" fillId="31" borderId="23" xfId="7" applyFont="1" applyBorder="1"/>
    <xf numFmtId="167" fontId="8" fillId="31" borderId="23" xfId="2" applyNumberFormat="1" applyFont="1" applyFill="1" applyBorder="1"/>
    <xf numFmtId="43" fontId="8" fillId="31" borderId="23" xfId="2" applyFont="1" applyFill="1" applyBorder="1"/>
    <xf numFmtId="43" fontId="8" fillId="31" borderId="24" xfId="2" applyFont="1" applyFill="1" applyBorder="1"/>
    <xf numFmtId="0" fontId="8" fillId="31" borderId="25" xfId="7" applyFont="1" applyBorder="1"/>
    <xf numFmtId="0" fontId="8" fillId="31" borderId="3" xfId="7" applyFont="1" applyAlignment="1">
      <alignment wrapText="1"/>
    </xf>
    <xf numFmtId="168" fontId="8" fillId="31" borderId="26" xfId="7" applyNumberFormat="1" applyFont="1" applyBorder="1"/>
    <xf numFmtId="0" fontId="8" fillId="31" borderId="3" xfId="7" applyFont="1"/>
    <xf numFmtId="43" fontId="8" fillId="31" borderId="3" xfId="2" applyFont="1" applyFill="1" applyBorder="1"/>
    <xf numFmtId="43" fontId="8" fillId="31" borderId="26" xfId="2" applyFont="1" applyFill="1" applyBorder="1"/>
    <xf numFmtId="167" fontId="8" fillId="31" borderId="3" xfId="2" applyNumberFormat="1" applyFont="1" applyFill="1" applyBorder="1"/>
    <xf numFmtId="0" fontId="7" fillId="31" borderId="25" xfId="7" applyFont="1" applyBorder="1"/>
    <xf numFmtId="169" fontId="8" fillId="31" borderId="3" xfId="3" applyFont="1" applyFill="1" applyBorder="1" applyAlignment="1">
      <alignment horizontal="right"/>
    </xf>
    <xf numFmtId="0" fontId="8" fillId="31" borderId="8" xfId="7" applyFont="1" applyBorder="1" applyAlignment="1">
      <alignment vertical="center"/>
    </xf>
    <xf numFmtId="0" fontId="8" fillId="31" borderId="8" xfId="7" applyFont="1" applyBorder="1" applyAlignment="1">
      <alignment vertical="center" wrapText="1"/>
    </xf>
    <xf numFmtId="0" fontId="8" fillId="31" borderId="25" xfId="7" applyFont="1" applyBorder="1" applyAlignment="1">
      <alignment vertical="top"/>
    </xf>
    <xf numFmtId="170" fontId="7" fillId="31" borderId="3" xfId="4" applyNumberFormat="1" applyFont="1"/>
    <xf numFmtId="0" fontId="8" fillId="31" borderId="8" xfId="7" applyFont="1" applyBorder="1" applyAlignment="1">
      <alignment horizontal="left" indent="5"/>
    </xf>
    <xf numFmtId="170" fontId="8" fillId="31" borderId="8" xfId="4" applyNumberFormat="1" applyFont="1" applyBorder="1"/>
    <xf numFmtId="0" fontId="8" fillId="31" borderId="3" xfId="4" applyFont="1"/>
    <xf numFmtId="171" fontId="8" fillId="31" borderId="8" xfId="4" applyNumberFormat="1" applyFont="1" applyBorder="1"/>
    <xf numFmtId="0" fontId="8" fillId="31" borderId="3" xfId="7" applyFont="1" applyAlignment="1">
      <alignment vertical="top"/>
    </xf>
    <xf numFmtId="167" fontId="8" fillId="31" borderId="26" xfId="2" applyNumberFormat="1" applyFont="1" applyFill="1" applyBorder="1"/>
    <xf numFmtId="4" fontId="8" fillId="31" borderId="3" xfId="2" applyNumberFormat="1" applyFont="1" applyFill="1" applyBorder="1" applyAlignment="1">
      <alignment vertical="top"/>
    </xf>
    <xf numFmtId="2" fontId="8" fillId="31" borderId="3" xfId="7" applyNumberFormat="1" applyFont="1" applyAlignment="1">
      <alignment horizontal="right"/>
    </xf>
    <xf numFmtId="0" fontId="8" fillId="31" borderId="25" xfId="5" applyFont="1" applyBorder="1" applyAlignment="1">
      <alignment vertical="top"/>
    </xf>
    <xf numFmtId="4" fontId="8" fillId="31" borderId="3" xfId="7" applyNumberFormat="1" applyFont="1" applyAlignment="1">
      <alignment vertical="top"/>
    </xf>
    <xf numFmtId="0" fontId="8" fillId="31" borderId="25" xfId="7" applyFont="1" applyBorder="1" applyAlignment="1">
      <alignment horizontal="left" vertical="top" indent="3"/>
    </xf>
    <xf numFmtId="43" fontId="8" fillId="31" borderId="25" xfId="2" applyFont="1" applyFill="1" applyBorder="1" applyAlignment="1">
      <alignment vertical="top"/>
    </xf>
    <xf numFmtId="43" fontId="8" fillId="31" borderId="3" xfId="2" applyFont="1" applyFill="1" applyBorder="1" applyAlignment="1">
      <alignment horizontal="right"/>
    </xf>
    <xf numFmtId="0" fontId="8" fillId="31" borderId="3" xfId="7" applyFont="1" applyAlignment="1">
      <alignment horizontal="left" vertical="top" indent="3"/>
    </xf>
    <xf numFmtId="0" fontId="8" fillId="31" borderId="3" xfId="7" applyFont="1" applyAlignment="1">
      <alignment vertical="center"/>
    </xf>
    <xf numFmtId="4" fontId="8" fillId="31" borderId="3" xfId="7" applyNumberFormat="1" applyFont="1" applyAlignment="1">
      <alignment horizontal="left" vertical="top" indent="3"/>
    </xf>
    <xf numFmtId="4" fontId="8" fillId="31" borderId="3" xfId="7" applyNumberFormat="1" applyFont="1"/>
    <xf numFmtId="2" fontId="8" fillId="31" borderId="3" xfId="7" applyNumberFormat="1" applyFont="1" applyAlignment="1">
      <alignment vertical="top"/>
    </xf>
    <xf numFmtId="4" fontId="8" fillId="31" borderId="25" xfId="7" applyNumberFormat="1" applyFont="1" applyBorder="1" applyAlignment="1">
      <alignment vertical="top"/>
    </xf>
    <xf numFmtId="2" fontId="8" fillId="31" borderId="25" xfId="7" applyNumberFormat="1" applyFont="1" applyBorder="1" applyAlignment="1">
      <alignment vertical="top"/>
    </xf>
    <xf numFmtId="0" fontId="8" fillId="31" borderId="3" xfId="5" applyFont="1" applyAlignment="1">
      <alignment vertical="top"/>
    </xf>
    <xf numFmtId="172" fontId="7" fillId="31" borderId="3" xfId="5" applyNumberFormat="1" applyFont="1"/>
    <xf numFmtId="0" fontId="7" fillId="31" borderId="8" xfId="7" applyFont="1" applyBorder="1" applyAlignment="1">
      <alignment vertical="top" wrapText="1"/>
    </xf>
    <xf numFmtId="0" fontId="8" fillId="31" borderId="8" xfId="7" applyFont="1" applyBorder="1"/>
    <xf numFmtId="173" fontId="8" fillId="31" borderId="8" xfId="7" applyNumberFormat="1" applyFont="1" applyBorder="1"/>
    <xf numFmtId="173" fontId="8" fillId="31" borderId="8" xfId="4" applyNumberFormat="1" applyFont="1" applyBorder="1"/>
    <xf numFmtId="43" fontId="8" fillId="31" borderId="8" xfId="2" applyFont="1" applyFill="1" applyBorder="1"/>
    <xf numFmtId="43" fontId="8" fillId="31" borderId="8" xfId="2" applyFont="1" applyFill="1" applyBorder="1" applyAlignment="1"/>
    <xf numFmtId="43" fontId="8" fillId="31" borderId="26" xfId="2" applyFont="1" applyFill="1" applyBorder="1" applyAlignment="1"/>
    <xf numFmtId="173" fontId="8" fillId="31" borderId="3" xfId="4" applyNumberFormat="1" applyFont="1"/>
    <xf numFmtId="43" fontId="8" fillId="31" borderId="3" xfId="2" applyFont="1" applyFill="1" applyBorder="1" applyAlignment="1"/>
    <xf numFmtId="43" fontId="8" fillId="31" borderId="3" xfId="2" applyFont="1" applyFill="1" applyBorder="1" applyAlignment="1">
      <alignment vertical="center"/>
    </xf>
    <xf numFmtId="0" fontId="7" fillId="31" borderId="3" xfId="7" applyFont="1"/>
    <xf numFmtId="167" fontId="8" fillId="31" borderId="8" xfId="2" applyNumberFormat="1" applyFont="1" applyFill="1" applyBorder="1"/>
    <xf numFmtId="167" fontId="8" fillId="31" borderId="3" xfId="3" applyNumberFormat="1" applyFont="1" applyFill="1" applyBorder="1"/>
    <xf numFmtId="4" fontId="8" fillId="31" borderId="3" xfId="3" applyNumberFormat="1" applyFont="1" applyFill="1" applyBorder="1"/>
    <xf numFmtId="169" fontId="8" fillId="31" borderId="3" xfId="3" applyFont="1" applyFill="1" applyBorder="1"/>
    <xf numFmtId="174" fontId="8" fillId="31" borderId="3" xfId="3" applyNumberFormat="1" applyFont="1" applyFill="1" applyBorder="1"/>
    <xf numFmtId="0" fontId="7" fillId="31" borderId="8" xfId="7" applyFont="1" applyBorder="1"/>
    <xf numFmtId="164" fontId="1" fillId="31" borderId="8" xfId="7" applyNumberFormat="1" applyFont="1" applyBorder="1" applyAlignment="1">
      <alignment horizontal="right" vertical="top" wrapText="1"/>
    </xf>
    <xf numFmtId="0" fontId="8" fillId="31" borderId="25" xfId="3" applyNumberFormat="1" applyFont="1" applyFill="1" applyBorder="1" applyAlignment="1">
      <alignment horizontal="left"/>
    </xf>
    <xf numFmtId="0" fontId="8" fillId="31" borderId="3" xfId="3" applyNumberFormat="1" applyFont="1" applyFill="1" applyBorder="1" applyAlignment="1">
      <alignment horizontal="left"/>
    </xf>
    <xf numFmtId="175" fontId="8" fillId="31" borderId="3" xfId="7" applyNumberFormat="1" applyFont="1"/>
    <xf numFmtId="169" fontId="8" fillId="31" borderId="3" xfId="7" applyNumberFormat="1" applyFont="1"/>
    <xf numFmtId="168" fontId="8" fillId="31" borderId="26" xfId="4" applyNumberFormat="1" applyFont="1" applyBorder="1"/>
    <xf numFmtId="167" fontId="8" fillId="31" borderId="3" xfId="7" applyNumberFormat="1" applyFont="1"/>
    <xf numFmtId="0" fontId="8" fillId="31" borderId="27" xfId="4" applyFont="1" applyBorder="1" applyAlignment="1">
      <alignment horizontal="left"/>
    </xf>
    <xf numFmtId="0" fontId="8" fillId="31" borderId="28" xfId="4" applyFont="1" applyBorder="1" applyAlignment="1">
      <alignment horizontal="left"/>
    </xf>
    <xf numFmtId="0" fontId="8" fillId="31" borderId="28" xfId="4" applyFont="1" applyBorder="1"/>
    <xf numFmtId="43" fontId="4" fillId="31" borderId="29" xfId="2" applyFont="1" applyFill="1" applyBorder="1"/>
    <xf numFmtId="0" fontId="7" fillId="31" borderId="8" xfId="7" applyFont="1" applyBorder="1" applyAlignment="1">
      <alignment wrapText="1"/>
    </xf>
    <xf numFmtId="0" fontId="7" fillId="31" borderId="8" xfId="7" applyFont="1" applyBorder="1" applyAlignment="1">
      <alignment horizontal="center" wrapText="1"/>
    </xf>
    <xf numFmtId="0" fontId="8" fillId="31" borderId="8" xfId="7" applyFont="1" applyBorder="1" applyAlignment="1">
      <alignment wrapText="1"/>
    </xf>
    <xf numFmtId="10" fontId="8" fillId="31" borderId="8" xfId="6" applyNumberFormat="1" applyFont="1" applyFill="1" applyBorder="1" applyAlignment="1" applyProtection="1">
      <alignment horizontal="center"/>
      <protection locked="0"/>
    </xf>
    <xf numFmtId="1" fontId="8" fillId="31" borderId="8" xfId="7" applyNumberFormat="1" applyFont="1" applyBorder="1" applyAlignment="1" applyProtection="1">
      <alignment horizontal="center"/>
      <protection locked="0"/>
    </xf>
    <xf numFmtId="0" fontId="8" fillId="31" borderId="8" xfId="7" applyFont="1" applyBorder="1" applyAlignment="1">
      <alignment horizontal="left" vertical="center"/>
    </xf>
    <xf numFmtId="10" fontId="8" fillId="31" borderId="8" xfId="6" applyNumberFormat="1" applyFont="1" applyFill="1" applyBorder="1" applyAlignment="1" applyProtection="1">
      <alignment horizontal="center" vertical="center"/>
      <protection locked="0"/>
    </xf>
    <xf numFmtId="1" fontId="8" fillId="31" borderId="8" xfId="7" applyNumberFormat="1" applyFont="1" applyBorder="1" applyAlignment="1" applyProtection="1">
      <alignment horizontal="center" vertical="center"/>
      <protection locked="0"/>
    </xf>
    <xf numFmtId="10" fontId="8" fillId="31" borderId="3" xfId="7" applyNumberFormat="1" applyFont="1" applyAlignment="1">
      <alignment wrapText="1"/>
    </xf>
    <xf numFmtId="1" fontId="8" fillId="31" borderId="3" xfId="7" applyNumberFormat="1" applyFont="1" applyAlignment="1">
      <alignment wrapText="1"/>
    </xf>
    <xf numFmtId="0" fontId="5" fillId="31" borderId="8" xfId="7" applyFont="1" applyBorder="1" applyAlignment="1">
      <alignment horizontal="center" wrapText="1"/>
    </xf>
    <xf numFmtId="1" fontId="8" fillId="31" borderId="8" xfId="7" applyNumberFormat="1" applyFont="1" applyBorder="1"/>
    <xf numFmtId="4" fontId="8" fillId="31" borderId="8" xfId="7" applyNumberFormat="1" applyFont="1" applyBorder="1"/>
    <xf numFmtId="10" fontId="8" fillId="31" borderId="3" xfId="7" applyNumberFormat="1" applyFont="1" applyAlignment="1">
      <alignment horizontal="right" vertical="center" wrapText="1"/>
    </xf>
    <xf numFmtId="10" fontId="4" fillId="31" borderId="8" xfId="7" applyNumberFormat="1" applyFont="1" applyBorder="1" applyAlignment="1">
      <alignment horizontal="right" vertical="center"/>
    </xf>
    <xf numFmtId="10" fontId="8" fillId="31" borderId="3" xfId="7" applyNumberFormat="1" applyFont="1" applyAlignment="1">
      <alignment horizontal="right" vertical="center"/>
    </xf>
    <xf numFmtId="4" fontId="4" fillId="31" borderId="8" xfId="7" applyNumberFormat="1" applyFont="1" applyBorder="1" applyAlignment="1">
      <alignment horizontal="right" vertical="center"/>
    </xf>
    <xf numFmtId="4" fontId="8" fillId="31" borderId="3" xfId="7" applyNumberFormat="1" applyFont="1" applyAlignment="1">
      <alignment horizontal="right" vertical="center"/>
    </xf>
    <xf numFmtId="0" fontId="4" fillId="31" borderId="8" xfId="7" applyFont="1" applyBorder="1"/>
    <xf numFmtId="10" fontId="8" fillId="31" borderId="8" xfId="6" applyNumberFormat="1" applyFont="1" applyFill="1" applyBorder="1" applyAlignment="1">
      <alignment horizontal="right" vertical="center"/>
    </xf>
    <xf numFmtId="10" fontId="8" fillId="31" borderId="8" xfId="7" applyNumberFormat="1" applyFont="1" applyBorder="1" applyAlignment="1">
      <alignment horizontal="right" vertical="center"/>
    </xf>
    <xf numFmtId="171" fontId="8" fillId="31" borderId="8" xfId="7" applyNumberFormat="1" applyFont="1" applyBorder="1"/>
    <xf numFmtId="171" fontId="8" fillId="31" borderId="3" xfId="7" applyNumberFormat="1" applyFont="1"/>
    <xf numFmtId="0" fontId="5" fillId="31" borderId="3" xfId="7" applyFont="1" applyAlignment="1">
      <alignment horizontal="center"/>
    </xf>
    <xf numFmtId="0" fontId="4" fillId="31" borderId="3" xfId="7" applyFont="1" applyAlignment="1">
      <alignment wrapText="1"/>
    </xf>
    <xf numFmtId="164" fontId="1" fillId="31" borderId="3" xfId="7" applyNumberFormat="1" applyFont="1" applyAlignment="1">
      <alignment horizontal="right" vertical="top" wrapText="1"/>
    </xf>
    <xf numFmtId="4" fontId="4" fillId="31" borderId="3" xfId="7" applyNumberFormat="1" applyFont="1"/>
    <xf numFmtId="0" fontId="7" fillId="31" borderId="22" xfId="4" applyFont="1" applyBorder="1"/>
    <xf numFmtId="0" fontId="7" fillId="31" borderId="23" xfId="4" applyFont="1" applyBorder="1"/>
    <xf numFmtId="167" fontId="7" fillId="31" borderId="23" xfId="3" applyNumberFormat="1" applyFont="1" applyFill="1" applyBorder="1"/>
    <xf numFmtId="43" fontId="7" fillId="31" borderId="23" xfId="2" applyFont="1" applyFill="1" applyBorder="1" applyAlignment="1">
      <alignment horizontal="right"/>
    </xf>
    <xf numFmtId="0" fontId="4" fillId="31" borderId="23" xfId="7" applyFont="1" applyBorder="1"/>
    <xf numFmtId="0" fontId="4" fillId="31" borderId="24" xfId="7" applyFont="1" applyBorder="1"/>
    <xf numFmtId="0" fontId="8" fillId="31" borderId="25" xfId="4" applyFont="1" applyBorder="1"/>
    <xf numFmtId="0" fontId="4" fillId="31" borderId="26" xfId="7" applyFont="1" applyBorder="1"/>
    <xf numFmtId="0" fontId="8" fillId="31" borderId="8" xfId="4" applyFont="1" applyBorder="1" applyAlignment="1">
      <alignment vertical="center"/>
    </xf>
    <xf numFmtId="0" fontId="8" fillId="31" borderId="8" xfId="4" applyFont="1" applyBorder="1" applyAlignment="1">
      <alignment horizontal="center" vertical="center" wrapText="1"/>
    </xf>
    <xf numFmtId="0" fontId="8" fillId="31" borderId="25" xfId="4" applyFont="1" applyBorder="1" applyAlignment="1">
      <alignment vertical="center"/>
    </xf>
    <xf numFmtId="0" fontId="8" fillId="31" borderId="3" xfId="4" applyFont="1" applyAlignment="1">
      <alignment vertical="center"/>
    </xf>
    <xf numFmtId="0" fontId="8" fillId="31" borderId="25" xfId="4" applyFont="1" applyBorder="1" applyAlignment="1">
      <alignment vertical="top"/>
    </xf>
    <xf numFmtId="170" fontId="8" fillId="31" borderId="3" xfId="4" applyNumberFormat="1" applyFont="1"/>
    <xf numFmtId="0" fontId="8" fillId="31" borderId="8" xfId="4" applyFont="1" applyBorder="1"/>
    <xf numFmtId="15" fontId="8" fillId="31" borderId="3" xfId="4" applyNumberFormat="1" applyFont="1"/>
    <xf numFmtId="0" fontId="7" fillId="31" borderId="8" xfId="4" applyFont="1" applyBorder="1"/>
    <xf numFmtId="0" fontId="11" fillId="31" borderId="3" xfId="7" applyFont="1" applyAlignment="1">
      <alignment vertical="center"/>
    </xf>
    <xf numFmtId="0" fontId="1" fillId="31" borderId="3" xfId="7" applyFont="1" applyAlignment="1">
      <alignment vertical="center"/>
    </xf>
    <xf numFmtId="0" fontId="8" fillId="31" borderId="3" xfId="4" applyFont="1" applyAlignment="1">
      <alignment vertical="top"/>
    </xf>
    <xf numFmtId="176" fontId="8" fillId="31" borderId="25" xfId="7" quotePrefix="1" applyNumberFormat="1" applyFont="1" applyBorder="1" applyAlignment="1">
      <alignment horizontal="center" vertical="top"/>
    </xf>
    <xf numFmtId="0" fontId="8" fillId="31" borderId="3" xfId="7" applyFont="1" applyAlignment="1">
      <alignment vertical="top" wrapText="1"/>
    </xf>
    <xf numFmtId="164" fontId="8" fillId="31" borderId="3" xfId="4" applyNumberFormat="1" applyFont="1" applyAlignment="1">
      <alignment vertical="top"/>
    </xf>
    <xf numFmtId="0" fontId="8" fillId="31" borderId="25" xfId="4" applyFont="1" applyBorder="1" applyAlignment="1">
      <alignment horizontal="left" vertical="top" indent="3"/>
    </xf>
    <xf numFmtId="0" fontId="8" fillId="31" borderId="3" xfId="5" applyFont="1"/>
    <xf numFmtId="10" fontId="8" fillId="31" borderId="3" xfId="6" applyNumberFormat="1" applyFont="1" applyFill="1" applyBorder="1"/>
    <xf numFmtId="0" fontId="4" fillId="31" borderId="25" xfId="7" applyFont="1" applyBorder="1"/>
    <xf numFmtId="0" fontId="8" fillId="31" borderId="27" xfId="7" applyFont="1" applyBorder="1"/>
    <xf numFmtId="0" fontId="5" fillId="31" borderId="3" xfId="7" applyFont="1"/>
    <xf numFmtId="43" fontId="4" fillId="31" borderId="26" xfId="2" applyFont="1" applyFill="1" applyBorder="1"/>
    <xf numFmtId="0" fontId="7" fillId="31" borderId="3" xfId="4" applyFont="1"/>
    <xf numFmtId="175" fontId="8" fillId="31" borderId="3" xfId="4" applyNumberFormat="1" applyFont="1"/>
    <xf numFmtId="4" fontId="8" fillId="31" borderId="3" xfId="4" applyNumberFormat="1" applyFont="1"/>
    <xf numFmtId="0" fontId="8" fillId="31" borderId="25" xfId="4" applyFont="1" applyBorder="1" applyAlignment="1">
      <alignment horizontal="left"/>
    </xf>
    <xf numFmtId="0" fontId="8" fillId="31" borderId="3" xfId="4" applyFont="1" applyAlignment="1">
      <alignment horizontal="left"/>
    </xf>
    <xf numFmtId="0" fontId="7" fillId="31" borderId="27" xfId="4" applyFont="1" applyBorder="1"/>
    <xf numFmtId="168" fontId="8" fillId="31" borderId="29" xfId="4" applyNumberFormat="1" applyFont="1" applyBorder="1"/>
    <xf numFmtId="0" fontId="8" fillId="31" borderId="8" xfId="4" applyFont="1" applyBorder="1" applyAlignment="1">
      <alignment vertical="center"/>
    </xf>
    <xf numFmtId="0" fontId="8" fillId="31" borderId="8" xfId="4" applyFont="1" applyBorder="1" applyAlignment="1">
      <alignment horizontal="center" vertical="center"/>
    </xf>
    <xf numFmtId="0" fontId="5" fillId="31" borderId="3" xfId="7" applyFont="1" applyAlignment="1">
      <alignment horizontal="center" wrapText="1"/>
    </xf>
    <xf numFmtId="0" fontId="5" fillId="31" borderId="3" xfId="7" applyFont="1" applyAlignment="1">
      <alignment horizontal="center"/>
    </xf>
    <xf numFmtId="0" fontId="8" fillId="31" borderId="3" xfId="7" applyFont="1" applyAlignment="1">
      <alignment wrapText="1"/>
    </xf>
    <xf numFmtId="0" fontId="8" fillId="31" borderId="8" xfId="7" applyFont="1" applyBorder="1" applyAlignment="1">
      <alignment vertical="center"/>
    </xf>
    <xf numFmtId="43" fontId="8" fillId="31" borderId="30" xfId="2" applyFont="1" applyFill="1" applyBorder="1" applyAlignment="1">
      <alignment horizontal="center" vertical="center"/>
    </xf>
    <xf numFmtId="43" fontId="8" fillId="31" borderId="31" xfId="2" applyFont="1" applyFill="1" applyBorder="1" applyAlignment="1">
      <alignment horizontal="center" vertical="center"/>
    </xf>
    <xf numFmtId="43" fontId="8" fillId="31" borderId="32" xfId="2" applyFont="1" applyFill="1" applyBorder="1" applyAlignment="1">
      <alignment horizontal="center" vertical="center"/>
    </xf>
    <xf numFmtId="0" fontId="8" fillId="31" borderId="25" xfId="7" applyFont="1" applyBorder="1" applyAlignment="1">
      <alignment horizontal="left"/>
    </xf>
    <xf numFmtId="0" fontId="8" fillId="31" borderId="3" xfId="7" applyFont="1" applyAlignment="1">
      <alignment horizontal="left"/>
    </xf>
    <xf numFmtId="0" fontId="10" fillId="31" borderId="25" xfId="7" applyFont="1" applyBorder="1" applyAlignment="1">
      <alignment horizontal="left" wrapText="1"/>
    </xf>
    <xf numFmtId="0" fontId="10" fillId="31" borderId="3" xfId="7" applyFont="1" applyAlignment="1">
      <alignment horizontal="left" wrapText="1"/>
    </xf>
    <xf numFmtId="0" fontId="7" fillId="31" borderId="8" xfId="7" applyFont="1" applyBorder="1" applyAlignment="1">
      <alignment wrapText="1"/>
    </xf>
    <xf numFmtId="0" fontId="7" fillId="31" borderId="8" xfId="7" applyFont="1" applyBorder="1" applyAlignment="1">
      <alignment horizontal="center" wrapText="1"/>
    </xf>
    <xf numFmtId="0" fontId="7" fillId="31" borderId="34" xfId="7" applyFont="1" applyBorder="1" applyAlignment="1">
      <alignment horizontal="center" wrapText="1"/>
    </xf>
    <xf numFmtId="0" fontId="7" fillId="31" borderId="35" xfId="7" applyFont="1" applyBorder="1" applyAlignment="1">
      <alignment horizontal="center" wrapText="1"/>
    </xf>
    <xf numFmtId="0" fontId="7" fillId="31" borderId="36" xfId="7" applyFont="1" applyBorder="1" applyAlignment="1">
      <alignment horizontal="center" wrapText="1"/>
    </xf>
    <xf numFmtId="0" fontId="8" fillId="0" borderId="8" xfId="4" applyFont="1" applyFill="1" applyBorder="1" applyAlignment="1">
      <alignment vertical="center"/>
    </xf>
    <xf numFmtId="0" fontId="8" fillId="0" borderId="8" xfId="4" applyFont="1" applyFill="1" applyBorder="1" applyAlignment="1">
      <alignment horizontal="center" vertical="center"/>
    </xf>
    <xf numFmtId="15" fontId="8" fillId="0" borderId="25" xfId="4" applyNumberFormat="1" applyFont="1" applyFill="1" applyBorder="1" applyAlignment="1">
      <alignment horizontal="center" vertical="top" wrapText="1"/>
    </xf>
    <xf numFmtId="15" fontId="8" fillId="0" borderId="3" xfId="4" applyNumberFormat="1" applyFont="1" applyFill="1" applyAlignment="1">
      <alignment horizontal="center" vertical="top" wrapText="1"/>
    </xf>
    <xf numFmtId="15" fontId="8" fillId="0" borderId="26" xfId="4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8" xfId="0" applyFont="1" applyBorder="1" applyAlignment="1">
      <alignment horizontal="left" vertical="center" wrapText="1" indent="7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36" xfId="0" applyFont="1" applyBorder="1" applyAlignment="1">
      <alignment horizontal="center" wrapText="1"/>
    </xf>
    <xf numFmtId="4" fontId="8" fillId="0" borderId="8" xfId="4" applyNumberFormat="1" applyFont="1" applyFill="1" applyBorder="1" applyAlignment="1">
      <alignment horizontal="center" vertical="center"/>
    </xf>
    <xf numFmtId="0" fontId="8" fillId="0" borderId="25" xfId="4" applyFont="1" applyFill="1" applyBorder="1" applyAlignment="1">
      <alignment horizontal="left"/>
    </xf>
    <xf numFmtId="0" fontId="8" fillId="0" borderId="3" xfId="4" applyFont="1" applyFill="1" applyAlignment="1">
      <alignment horizontal="left"/>
    </xf>
    <xf numFmtId="0" fontId="8" fillId="0" borderId="8" xfId="0" applyFont="1" applyBorder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43" fontId="7" fillId="0" borderId="30" xfId="2" applyFont="1" applyFill="1" applyBorder="1" applyAlignment="1">
      <alignment horizontal="center" vertical="center"/>
    </xf>
    <xf numFmtId="43" fontId="7" fillId="0" borderId="31" xfId="2" applyFont="1" applyFill="1" applyBorder="1" applyAlignment="1">
      <alignment horizontal="center" vertical="center"/>
    </xf>
    <xf numFmtId="43" fontId="7" fillId="0" borderId="32" xfId="2" applyFont="1" applyFill="1" applyBorder="1" applyAlignment="1">
      <alignment horizontal="center" vertical="center"/>
    </xf>
    <xf numFmtId="4" fontId="8" fillId="0" borderId="30" xfId="4" applyNumberFormat="1" applyFont="1" applyFill="1" applyBorder="1" applyAlignment="1">
      <alignment horizontal="center" vertical="center" wrapText="1"/>
    </xf>
    <xf numFmtId="4" fontId="8" fillId="0" borderId="31" xfId="4" applyNumberFormat="1" applyFont="1" applyFill="1" applyBorder="1" applyAlignment="1">
      <alignment horizontal="center" vertical="center" wrapText="1"/>
    </xf>
    <xf numFmtId="4" fontId="8" fillId="0" borderId="32" xfId="4" applyNumberFormat="1" applyFont="1" applyFill="1" applyBorder="1" applyAlignment="1">
      <alignment horizontal="center" vertical="center" wrapText="1"/>
    </xf>
  </cellXfs>
  <cellStyles count="9">
    <cellStyle name="Comma 2" xfId="3" xr:uid="{F9FEC463-AD9C-471C-8921-A2A981464147}"/>
    <cellStyle name="Comma 3" xfId="2" xr:uid="{3FE2BBF4-C719-4154-8FF8-BD8E2F4BEB3C}"/>
    <cellStyle name="Normal" xfId="0" builtinId="0"/>
    <cellStyle name="Normal 13" xfId="7" xr:uid="{E7A6EE43-19F5-48A1-B265-9AC514AD5746}"/>
    <cellStyle name="Normal 15" xfId="8" xr:uid="{B6D8E38B-7621-45F4-BFE7-6F7796C19F18}"/>
    <cellStyle name="Normal 2" xfId="4" xr:uid="{756CE82C-4EF8-480B-83BA-F812BCDFF388}"/>
    <cellStyle name="Normal 2 2" xfId="5" xr:uid="{6A8F0C5D-1996-4632-AA57-6FE3DCCDFEB0}"/>
    <cellStyle name="Percent" xfId="1" builtinId="5"/>
    <cellStyle name="Percent 2" xfId="6" xr:uid="{090E64B4-08E2-40D4-B2E7-12A149689C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304</xdr:row>
      <xdr:rowOff>104775</xdr:rowOff>
    </xdr:from>
    <xdr:to>
      <xdr:col>1</xdr:col>
      <xdr:colOff>3476625</xdr:colOff>
      <xdr:row>313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5A0E4-9D59-4E93-A7C7-5E94484A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50091975"/>
          <a:ext cx="27241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305</xdr:row>
      <xdr:rowOff>40249</xdr:rowOff>
    </xdr:from>
    <xdr:to>
      <xdr:col>3</xdr:col>
      <xdr:colOff>1685925</xdr:colOff>
      <xdr:row>313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011711-49F4-4F0C-B7D0-DF01AFDB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50217949"/>
          <a:ext cx="2524125" cy="1369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716280</xdr:colOff>
      <xdr:row>194</xdr:row>
      <xdr:rowOff>0</xdr:rowOff>
    </xdr:from>
    <xdr:to>
      <xdr:col>1</xdr:col>
      <xdr:colOff>3126105</xdr:colOff>
      <xdr:row>202</xdr:row>
      <xdr:rowOff>41910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4DB1B91-95D1-4C5B-ACEE-6EE5E5AEF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" y="34690050"/>
          <a:ext cx="2409825" cy="126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312420</xdr:colOff>
      <xdr:row>193</xdr:row>
      <xdr:rowOff>104775</xdr:rowOff>
    </xdr:from>
    <xdr:to>
      <xdr:col>3</xdr:col>
      <xdr:colOff>1205865</xdr:colOff>
      <xdr:row>202</xdr:row>
      <xdr:rowOff>51435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A7F8BFA7-BA69-447A-BBB9-8864497EE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34642425"/>
          <a:ext cx="2236470" cy="1318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159</xdr:row>
      <xdr:rowOff>114300</xdr:rowOff>
    </xdr:from>
    <xdr:to>
      <xdr:col>2</xdr:col>
      <xdr:colOff>257175</xdr:colOff>
      <xdr:row>168</xdr:row>
      <xdr:rowOff>64770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B59CF9F-0C61-48D6-82FE-005EFB09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28184475"/>
          <a:ext cx="2619375" cy="1322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160</xdr:row>
      <xdr:rowOff>76200</xdr:rowOff>
    </xdr:from>
    <xdr:to>
      <xdr:col>3</xdr:col>
      <xdr:colOff>1668780</xdr:colOff>
      <xdr:row>168</xdr:row>
      <xdr:rowOff>104775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928B296E-E3DB-48BF-85D4-1FF812FA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8298775"/>
          <a:ext cx="261175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289</xdr:row>
      <xdr:rowOff>34289</xdr:rowOff>
    </xdr:from>
    <xdr:to>
      <xdr:col>1</xdr:col>
      <xdr:colOff>2823210</xdr:colOff>
      <xdr:row>297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044B2-BF4C-44E0-A304-76DD1B60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" y="50592989"/>
          <a:ext cx="260985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</xdr:colOff>
      <xdr:row>289</xdr:row>
      <xdr:rowOff>123825</xdr:rowOff>
    </xdr:from>
    <xdr:to>
      <xdr:col>3</xdr:col>
      <xdr:colOff>1287781</xdr:colOff>
      <xdr:row>297</xdr:row>
      <xdr:rowOff>108584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4007BF5-8D7C-421D-A626-42B27EFD6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1" y="50682525"/>
          <a:ext cx="2783205" cy="1203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462915</xdr:colOff>
      <xdr:row>370</xdr:row>
      <xdr:rowOff>11430</xdr:rowOff>
    </xdr:from>
    <xdr:to>
      <xdr:col>3</xdr:col>
      <xdr:colOff>1680210</xdr:colOff>
      <xdr:row>379</xdr:row>
      <xdr:rowOff>70485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E86B7-E29F-42CC-ADEC-97109EF9C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840" y="65581530"/>
          <a:ext cx="2560320" cy="1430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641985</xdr:colOff>
      <xdr:row>369</xdr:row>
      <xdr:rowOff>142875</xdr:rowOff>
    </xdr:from>
    <xdr:to>
      <xdr:col>2</xdr:col>
      <xdr:colOff>99060</xdr:colOff>
      <xdr:row>379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F64AC0-3BF1-408A-825A-B54E21FF1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65560575"/>
          <a:ext cx="2447925" cy="1430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</xdr:colOff>
      <xdr:row>325</xdr:row>
      <xdr:rowOff>120015</xdr:rowOff>
    </xdr:from>
    <xdr:to>
      <xdr:col>4</xdr:col>
      <xdr:colOff>171450</xdr:colOff>
      <xdr:row>335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FF9C2E-2902-477D-988C-91F7C812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9070" y="62889765"/>
          <a:ext cx="300228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828675</xdr:colOff>
      <xdr:row>325</xdr:row>
      <xdr:rowOff>47625</xdr:rowOff>
    </xdr:from>
    <xdr:to>
      <xdr:col>1</xdr:col>
      <xdr:colOff>3749311</xdr:colOff>
      <xdr:row>335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CCFE4F-7C4E-46B5-BEE7-A0CA3F9B1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62817375"/>
          <a:ext cx="2920636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365760</xdr:colOff>
      <xdr:row>191</xdr:row>
      <xdr:rowOff>125730</xdr:rowOff>
    </xdr:from>
    <xdr:to>
      <xdr:col>1</xdr:col>
      <xdr:colOff>2710815</xdr:colOff>
      <xdr:row>200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B1E3B-6DAB-42ED-AD77-BE0912648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" y="31110555"/>
          <a:ext cx="234505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192</xdr:row>
      <xdr:rowOff>76200</xdr:rowOff>
    </xdr:from>
    <xdr:to>
      <xdr:col>3</xdr:col>
      <xdr:colOff>1602105</xdr:colOff>
      <xdr:row>200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92033-711E-4CB2-8424-616B64EE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31213425"/>
          <a:ext cx="244030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CD42-441F-433C-9D1B-34A59C207D16}">
  <sheetPr>
    <outlinePr summaryBelow="0"/>
  </sheetPr>
  <dimension ref="A1:L322"/>
  <sheetViews>
    <sheetView topLeftCell="A190" zoomScaleNormal="100" workbookViewId="0">
      <selection activeCell="B189" sqref="B189"/>
    </sheetView>
  </sheetViews>
  <sheetFormatPr defaultRowHeight="12" x14ac:dyDescent="0.2"/>
  <cols>
    <col min="1" max="1" width="3.28515625" style="286" customWidth="1"/>
    <col min="2" max="2" width="58" style="286" bestFit="1" customWidth="1"/>
    <col min="3" max="3" width="19.5703125" style="286" customWidth="1"/>
    <col min="4" max="4" width="28.85546875" style="286" customWidth="1"/>
    <col min="5" max="5" width="16.7109375" style="286" customWidth="1"/>
    <col min="6" max="6" width="25" style="286" customWidth="1"/>
    <col min="7" max="7" width="14.7109375" style="286" customWidth="1"/>
    <col min="8" max="8" width="8.85546875" style="286" customWidth="1"/>
    <col min="9" max="9" width="8.7109375" style="286" customWidth="1"/>
    <col min="10" max="16384" width="9.140625" style="286"/>
  </cols>
  <sheetData>
    <row r="1" spans="1:9" ht="15.95" customHeight="1" x14ac:dyDescent="0.2">
      <c r="A1" s="284"/>
      <c r="B1" s="285" t="s">
        <v>1183</v>
      </c>
      <c r="C1" s="284"/>
      <c r="D1" s="284"/>
      <c r="E1" s="284"/>
      <c r="F1" s="284"/>
      <c r="G1" s="284"/>
      <c r="H1" s="284"/>
      <c r="I1" s="284"/>
    </row>
    <row r="2" spans="1:9" ht="12.95" customHeight="1" x14ac:dyDescent="0.2">
      <c r="A2" s="284"/>
      <c r="B2" s="287"/>
      <c r="C2" s="284"/>
      <c r="D2" s="284"/>
      <c r="E2" s="284"/>
      <c r="F2" s="284"/>
      <c r="G2" s="284"/>
      <c r="H2" s="284"/>
      <c r="I2" s="284"/>
    </row>
    <row r="3" spans="1:9" ht="12.95" customHeight="1" x14ac:dyDescent="0.2">
      <c r="A3" s="288" t="s">
        <v>0</v>
      </c>
      <c r="B3" s="289" t="s">
        <v>1</v>
      </c>
      <c r="C3" s="284"/>
      <c r="D3" s="284"/>
      <c r="E3" s="284"/>
      <c r="F3" s="284"/>
      <c r="G3" s="284"/>
      <c r="H3" s="284"/>
      <c r="I3" s="284"/>
    </row>
    <row r="4" spans="1:9" ht="27.95" customHeight="1" x14ac:dyDescent="0.2">
      <c r="A4" s="284"/>
      <c r="B4" s="290" t="s">
        <v>2</v>
      </c>
      <c r="C4" s="291" t="s">
        <v>3</v>
      </c>
      <c r="D4" s="292" t="s">
        <v>4</v>
      </c>
      <c r="E4" s="292" t="s">
        <v>5</v>
      </c>
      <c r="F4" s="292" t="s">
        <v>6</v>
      </c>
      <c r="G4" s="292" t="s">
        <v>7</v>
      </c>
      <c r="H4" s="292" t="s">
        <v>8</v>
      </c>
      <c r="I4" s="293" t="s">
        <v>9</v>
      </c>
    </row>
    <row r="5" spans="1:9" ht="12.95" customHeight="1" x14ac:dyDescent="0.2">
      <c r="A5" s="284"/>
      <c r="B5" s="294" t="s">
        <v>10</v>
      </c>
      <c r="C5" s="295"/>
      <c r="D5" s="295"/>
      <c r="E5" s="295"/>
      <c r="F5" s="295"/>
      <c r="G5" s="295"/>
      <c r="H5" s="296"/>
      <c r="I5" s="297"/>
    </row>
    <row r="6" spans="1:9" ht="12.95" customHeight="1" x14ac:dyDescent="0.2">
      <c r="A6" s="284"/>
      <c r="B6" s="294" t="s">
        <v>11</v>
      </c>
      <c r="C6" s="295"/>
      <c r="D6" s="295"/>
      <c r="E6" s="295"/>
      <c r="F6" s="284"/>
      <c r="G6" s="296"/>
      <c r="H6" s="296"/>
      <c r="I6" s="297"/>
    </row>
    <row r="7" spans="1:9" ht="12.95" customHeight="1" x14ac:dyDescent="0.2">
      <c r="A7" s="298" t="s">
        <v>12</v>
      </c>
      <c r="B7" s="299" t="s">
        <v>13</v>
      </c>
      <c r="C7" s="295" t="s">
        <v>14</v>
      </c>
      <c r="D7" s="295" t="s">
        <v>15</v>
      </c>
      <c r="E7" s="300">
        <v>140247203</v>
      </c>
      <c r="F7" s="301">
        <v>1025978.41</v>
      </c>
      <c r="G7" s="302">
        <v>7.9600000000000004E-2</v>
      </c>
      <c r="H7" s="296"/>
      <c r="I7" s="297"/>
    </row>
    <row r="8" spans="1:9" ht="12.95" customHeight="1" x14ac:dyDescent="0.2">
      <c r="A8" s="298" t="s">
        <v>16</v>
      </c>
      <c r="B8" s="299" t="s">
        <v>17</v>
      </c>
      <c r="C8" s="295" t="s">
        <v>18</v>
      </c>
      <c r="D8" s="295" t="s">
        <v>19</v>
      </c>
      <c r="E8" s="300">
        <v>312063864</v>
      </c>
      <c r="F8" s="301">
        <v>924021.1</v>
      </c>
      <c r="G8" s="302">
        <v>7.1599999999999997E-2</v>
      </c>
      <c r="H8" s="296"/>
      <c r="I8" s="297"/>
    </row>
    <row r="9" spans="1:9" ht="12.95" customHeight="1" x14ac:dyDescent="0.2">
      <c r="A9" s="298" t="s">
        <v>20</v>
      </c>
      <c r="B9" s="299" t="s">
        <v>21</v>
      </c>
      <c r="C9" s="295" t="s">
        <v>22</v>
      </c>
      <c r="D9" s="295" t="s">
        <v>23</v>
      </c>
      <c r="E9" s="300">
        <v>174817417</v>
      </c>
      <c r="F9" s="301">
        <v>787465.05</v>
      </c>
      <c r="G9" s="302">
        <v>6.1100000000000002E-2</v>
      </c>
      <c r="H9" s="296"/>
      <c r="I9" s="297"/>
    </row>
    <row r="10" spans="1:9" ht="12.95" customHeight="1" x14ac:dyDescent="0.2">
      <c r="A10" s="298" t="s">
        <v>24</v>
      </c>
      <c r="B10" s="299" t="s">
        <v>25</v>
      </c>
      <c r="C10" s="295" t="s">
        <v>26</v>
      </c>
      <c r="D10" s="295" t="s">
        <v>15</v>
      </c>
      <c r="E10" s="300">
        <v>53846183</v>
      </c>
      <c r="F10" s="301">
        <v>649331.12</v>
      </c>
      <c r="G10" s="302">
        <v>5.0299999999999997E-2</v>
      </c>
      <c r="H10" s="296"/>
      <c r="I10" s="297"/>
    </row>
    <row r="11" spans="1:9" ht="12.95" customHeight="1" x14ac:dyDescent="0.2">
      <c r="A11" s="298" t="s">
        <v>27</v>
      </c>
      <c r="B11" s="299" t="s">
        <v>28</v>
      </c>
      <c r="C11" s="295" t="s">
        <v>29</v>
      </c>
      <c r="D11" s="295" t="s">
        <v>30</v>
      </c>
      <c r="E11" s="300">
        <v>224093958</v>
      </c>
      <c r="F11" s="301">
        <v>644718.31999999995</v>
      </c>
      <c r="G11" s="302">
        <v>0.05</v>
      </c>
      <c r="H11" s="296"/>
      <c r="I11" s="297"/>
    </row>
    <row r="12" spans="1:9" ht="12.95" customHeight="1" x14ac:dyDescent="0.2">
      <c r="A12" s="298" t="s">
        <v>31</v>
      </c>
      <c r="B12" s="299" t="s">
        <v>32</v>
      </c>
      <c r="C12" s="295" t="s">
        <v>33</v>
      </c>
      <c r="D12" s="295" t="s">
        <v>34</v>
      </c>
      <c r="E12" s="300">
        <v>6026828</v>
      </c>
      <c r="F12" s="301">
        <v>527106.38</v>
      </c>
      <c r="G12" s="302">
        <v>4.0899999999999999E-2</v>
      </c>
      <c r="H12" s="296"/>
      <c r="I12" s="297"/>
    </row>
    <row r="13" spans="1:9" ht="12.95" customHeight="1" x14ac:dyDescent="0.2">
      <c r="A13" s="298" t="s">
        <v>35</v>
      </c>
      <c r="B13" s="299" t="s">
        <v>36</v>
      </c>
      <c r="C13" s="295" t="s">
        <v>37</v>
      </c>
      <c r="D13" s="295" t="s">
        <v>15</v>
      </c>
      <c r="E13" s="300">
        <v>146607960</v>
      </c>
      <c r="F13" s="301">
        <v>518112.53</v>
      </c>
      <c r="G13" s="302">
        <v>4.02E-2</v>
      </c>
      <c r="H13" s="296"/>
      <c r="I13" s="297"/>
    </row>
    <row r="14" spans="1:9" ht="12.95" customHeight="1" x14ac:dyDescent="0.2">
      <c r="A14" s="298" t="s">
        <v>38</v>
      </c>
      <c r="B14" s="299" t="s">
        <v>39</v>
      </c>
      <c r="C14" s="295" t="s">
        <v>40</v>
      </c>
      <c r="D14" s="295" t="s">
        <v>41</v>
      </c>
      <c r="E14" s="300">
        <v>14645626</v>
      </c>
      <c r="F14" s="301">
        <v>432734.31</v>
      </c>
      <c r="G14" s="302">
        <v>3.3599999999999998E-2</v>
      </c>
      <c r="H14" s="296"/>
      <c r="I14" s="297"/>
    </row>
    <row r="15" spans="1:9" ht="12.95" customHeight="1" x14ac:dyDescent="0.2">
      <c r="A15" s="298" t="s">
        <v>42</v>
      </c>
      <c r="B15" s="299" t="s">
        <v>43</v>
      </c>
      <c r="C15" s="295" t="s">
        <v>44</v>
      </c>
      <c r="D15" s="295" t="s">
        <v>45</v>
      </c>
      <c r="E15" s="300">
        <v>29868916</v>
      </c>
      <c r="F15" s="301">
        <v>400721.38</v>
      </c>
      <c r="G15" s="302">
        <v>3.1099999999999999E-2</v>
      </c>
      <c r="H15" s="296"/>
      <c r="I15" s="297"/>
    </row>
    <row r="16" spans="1:9" ht="12.95" customHeight="1" x14ac:dyDescent="0.2">
      <c r="A16" s="298" t="s">
        <v>46</v>
      </c>
      <c r="B16" s="299" t="s">
        <v>47</v>
      </c>
      <c r="C16" s="295" t="s">
        <v>48</v>
      </c>
      <c r="D16" s="295" t="s">
        <v>15</v>
      </c>
      <c r="E16" s="300">
        <v>33244875</v>
      </c>
      <c r="F16" s="301">
        <v>386072.73</v>
      </c>
      <c r="G16" s="302">
        <v>2.9899999999999999E-2</v>
      </c>
      <c r="H16" s="296"/>
      <c r="I16" s="297"/>
    </row>
    <row r="17" spans="1:9" ht="12.95" customHeight="1" x14ac:dyDescent="0.2">
      <c r="A17" s="298" t="s">
        <v>49</v>
      </c>
      <c r="B17" s="299" t="s">
        <v>50</v>
      </c>
      <c r="C17" s="295" t="s">
        <v>51</v>
      </c>
      <c r="D17" s="295" t="s">
        <v>52</v>
      </c>
      <c r="E17" s="300">
        <v>21167034</v>
      </c>
      <c r="F17" s="301">
        <v>377281.21</v>
      </c>
      <c r="G17" s="302">
        <v>2.93E-2</v>
      </c>
      <c r="H17" s="296"/>
      <c r="I17" s="297"/>
    </row>
    <row r="18" spans="1:9" ht="12.95" customHeight="1" x14ac:dyDescent="0.2">
      <c r="A18" s="298" t="s">
        <v>53</v>
      </c>
      <c r="B18" s="299" t="s">
        <v>54</v>
      </c>
      <c r="C18" s="295" t="s">
        <v>55</v>
      </c>
      <c r="D18" s="295" t="s">
        <v>41</v>
      </c>
      <c r="E18" s="300">
        <v>3039945</v>
      </c>
      <c r="F18" s="301">
        <v>374095.63</v>
      </c>
      <c r="G18" s="302">
        <v>2.9000000000000001E-2</v>
      </c>
      <c r="H18" s="296"/>
      <c r="I18" s="297"/>
    </row>
    <row r="19" spans="1:9" ht="12.95" customHeight="1" x14ac:dyDescent="0.2">
      <c r="A19" s="298" t="s">
        <v>56</v>
      </c>
      <c r="B19" s="299" t="s">
        <v>57</v>
      </c>
      <c r="C19" s="295" t="s">
        <v>58</v>
      </c>
      <c r="D19" s="295" t="s">
        <v>45</v>
      </c>
      <c r="E19" s="300">
        <v>26944033</v>
      </c>
      <c r="F19" s="301">
        <v>336962.08</v>
      </c>
      <c r="G19" s="302">
        <v>2.6100000000000002E-2</v>
      </c>
      <c r="H19" s="296"/>
      <c r="I19" s="297"/>
    </row>
    <row r="20" spans="1:9" ht="12.95" customHeight="1" x14ac:dyDescent="0.2">
      <c r="A20" s="298" t="s">
        <v>59</v>
      </c>
      <c r="B20" s="299" t="s">
        <v>60</v>
      </c>
      <c r="C20" s="295" t="s">
        <v>61</v>
      </c>
      <c r="D20" s="295" t="s">
        <v>45</v>
      </c>
      <c r="E20" s="300">
        <v>12412184</v>
      </c>
      <c r="F20" s="301">
        <v>292791.01</v>
      </c>
      <c r="G20" s="302">
        <v>2.2700000000000001E-2</v>
      </c>
      <c r="H20" s="296"/>
      <c r="I20" s="297"/>
    </row>
    <row r="21" spans="1:9" ht="12.95" customHeight="1" x14ac:dyDescent="0.2">
      <c r="A21" s="298" t="s">
        <v>62</v>
      </c>
      <c r="B21" s="299" t="s">
        <v>63</v>
      </c>
      <c r="C21" s="295" t="s">
        <v>64</v>
      </c>
      <c r="D21" s="295" t="s">
        <v>65</v>
      </c>
      <c r="E21" s="300">
        <v>13769904</v>
      </c>
      <c r="F21" s="301">
        <v>172798.53</v>
      </c>
      <c r="G21" s="302">
        <v>1.34E-2</v>
      </c>
      <c r="H21" s="296"/>
      <c r="I21" s="297"/>
    </row>
    <row r="22" spans="1:9" ht="12.95" customHeight="1" x14ac:dyDescent="0.2">
      <c r="A22" s="298" t="s">
        <v>66</v>
      </c>
      <c r="B22" s="299" t="s">
        <v>67</v>
      </c>
      <c r="C22" s="295" t="s">
        <v>68</v>
      </c>
      <c r="D22" s="295" t="s">
        <v>65</v>
      </c>
      <c r="E22" s="300">
        <v>18853686</v>
      </c>
      <c r="F22" s="301">
        <v>164253.31</v>
      </c>
      <c r="G22" s="302">
        <v>1.2699999999999999E-2</v>
      </c>
      <c r="H22" s="296"/>
      <c r="I22" s="297"/>
    </row>
    <row r="23" spans="1:9" ht="12.95" customHeight="1" x14ac:dyDescent="0.2">
      <c r="A23" s="298" t="s">
        <v>69</v>
      </c>
      <c r="B23" s="299" t="s">
        <v>70</v>
      </c>
      <c r="C23" s="295" t="s">
        <v>71</v>
      </c>
      <c r="D23" s="295" t="s">
        <v>65</v>
      </c>
      <c r="E23" s="300">
        <v>13271296</v>
      </c>
      <c r="F23" s="301">
        <v>162467.21</v>
      </c>
      <c r="G23" s="302">
        <v>1.26E-2</v>
      </c>
      <c r="H23" s="296"/>
      <c r="I23" s="297"/>
    </row>
    <row r="24" spans="1:9" ht="12.95" customHeight="1" x14ac:dyDescent="0.2">
      <c r="A24" s="298" t="s">
        <v>72</v>
      </c>
      <c r="B24" s="299" t="s">
        <v>73</v>
      </c>
      <c r="C24" s="295" t="s">
        <v>74</v>
      </c>
      <c r="D24" s="295" t="s">
        <v>75</v>
      </c>
      <c r="E24" s="300">
        <v>22157154</v>
      </c>
      <c r="F24" s="301">
        <v>94467.03</v>
      </c>
      <c r="G24" s="302">
        <v>7.3000000000000001E-3</v>
      </c>
      <c r="H24" s="296"/>
      <c r="I24" s="297"/>
    </row>
    <row r="25" spans="1:9" ht="12.95" customHeight="1" x14ac:dyDescent="0.2">
      <c r="A25" s="298" t="s">
        <v>76</v>
      </c>
      <c r="B25" s="299" t="s">
        <v>77</v>
      </c>
      <c r="C25" s="295" t="s">
        <v>78</v>
      </c>
      <c r="D25" s="295" t="s">
        <v>79</v>
      </c>
      <c r="E25" s="300">
        <v>80755676</v>
      </c>
      <c r="F25" s="301">
        <v>92667.14</v>
      </c>
      <c r="G25" s="302">
        <v>7.1999999999999998E-3</v>
      </c>
      <c r="H25" s="296"/>
      <c r="I25" s="297"/>
    </row>
    <row r="26" spans="1:9" ht="12.95" customHeight="1" x14ac:dyDescent="0.2">
      <c r="A26" s="298" t="s">
        <v>80</v>
      </c>
      <c r="B26" s="299" t="s">
        <v>81</v>
      </c>
      <c r="C26" s="295" t="s">
        <v>82</v>
      </c>
      <c r="D26" s="295" t="s">
        <v>75</v>
      </c>
      <c r="E26" s="300">
        <v>7394472</v>
      </c>
      <c r="F26" s="301">
        <v>57344.13</v>
      </c>
      <c r="G26" s="302">
        <v>4.4000000000000003E-3</v>
      </c>
      <c r="H26" s="296"/>
      <c r="I26" s="297"/>
    </row>
    <row r="27" spans="1:9" ht="12.95" customHeight="1" x14ac:dyDescent="0.2">
      <c r="A27" s="298" t="s">
        <v>83</v>
      </c>
      <c r="B27" s="299" t="s">
        <v>84</v>
      </c>
      <c r="C27" s="295" t="s">
        <v>85</v>
      </c>
      <c r="D27" s="295" t="s">
        <v>86</v>
      </c>
      <c r="E27" s="300">
        <v>2274074</v>
      </c>
      <c r="F27" s="301">
        <v>47368.959999999999</v>
      </c>
      <c r="G27" s="302">
        <v>3.7000000000000002E-3</v>
      </c>
      <c r="H27" s="296"/>
      <c r="I27" s="297"/>
    </row>
    <row r="28" spans="1:9" ht="12.95" customHeight="1" x14ac:dyDescent="0.2">
      <c r="A28" s="298" t="s">
        <v>87</v>
      </c>
      <c r="B28" s="299" t="s">
        <v>88</v>
      </c>
      <c r="C28" s="295" t="s">
        <v>89</v>
      </c>
      <c r="D28" s="295" t="s">
        <v>90</v>
      </c>
      <c r="E28" s="300">
        <v>1995914</v>
      </c>
      <c r="F28" s="301">
        <v>32040.41</v>
      </c>
      <c r="G28" s="302">
        <v>2.5000000000000001E-3</v>
      </c>
      <c r="H28" s="296"/>
      <c r="I28" s="297"/>
    </row>
    <row r="29" spans="1:9" ht="12.95" customHeight="1" x14ac:dyDescent="0.2">
      <c r="A29" s="298" t="s">
        <v>91</v>
      </c>
      <c r="B29" s="299" t="s">
        <v>92</v>
      </c>
      <c r="C29" s="295" t="s">
        <v>93</v>
      </c>
      <c r="D29" s="295" t="s">
        <v>94</v>
      </c>
      <c r="E29" s="300">
        <v>2205298</v>
      </c>
      <c r="F29" s="301">
        <v>31198.35</v>
      </c>
      <c r="G29" s="302">
        <v>2.3999999999999998E-3</v>
      </c>
      <c r="H29" s="296"/>
      <c r="I29" s="297"/>
    </row>
    <row r="30" spans="1:9" ht="12.95" customHeight="1" x14ac:dyDescent="0.2">
      <c r="A30" s="298" t="s">
        <v>95</v>
      </c>
      <c r="B30" s="299" t="s">
        <v>96</v>
      </c>
      <c r="C30" s="295" t="s">
        <v>97</v>
      </c>
      <c r="D30" s="295" t="s">
        <v>79</v>
      </c>
      <c r="E30" s="300">
        <v>2264603</v>
      </c>
      <c r="F30" s="301">
        <v>25349.97</v>
      </c>
      <c r="G30" s="302">
        <v>2E-3</v>
      </c>
      <c r="H30" s="296"/>
      <c r="I30" s="297"/>
    </row>
    <row r="31" spans="1:9" ht="12.95" customHeight="1" x14ac:dyDescent="0.2">
      <c r="A31" s="298" t="s">
        <v>98</v>
      </c>
      <c r="B31" s="299" t="s">
        <v>99</v>
      </c>
      <c r="C31" s="295" t="s">
        <v>100</v>
      </c>
      <c r="D31" s="295" t="s">
        <v>101</v>
      </c>
      <c r="E31" s="300">
        <v>6957544</v>
      </c>
      <c r="F31" s="301">
        <v>18479.240000000002</v>
      </c>
      <c r="G31" s="302">
        <v>1.4E-3</v>
      </c>
      <c r="H31" s="296"/>
      <c r="I31" s="297"/>
    </row>
    <row r="32" spans="1:9" ht="12.95" customHeight="1" x14ac:dyDescent="0.2">
      <c r="A32" s="298" t="s">
        <v>102</v>
      </c>
      <c r="B32" s="299" t="s">
        <v>103</v>
      </c>
      <c r="C32" s="295" t="s">
        <v>104</v>
      </c>
      <c r="D32" s="295" t="s">
        <v>79</v>
      </c>
      <c r="E32" s="300">
        <v>287393</v>
      </c>
      <c r="F32" s="301">
        <v>14378.27</v>
      </c>
      <c r="G32" s="302">
        <v>1.1000000000000001E-3</v>
      </c>
      <c r="H32" s="296"/>
      <c r="I32" s="297"/>
    </row>
    <row r="33" spans="1:9" ht="12.95" customHeight="1" x14ac:dyDescent="0.2">
      <c r="A33" s="298" t="s">
        <v>105</v>
      </c>
      <c r="B33" s="299" t="s">
        <v>106</v>
      </c>
      <c r="C33" s="295" t="s">
        <v>107</v>
      </c>
      <c r="D33" s="295" t="s">
        <v>34</v>
      </c>
      <c r="E33" s="300">
        <v>80565</v>
      </c>
      <c r="F33" s="301">
        <v>8949.9699999999993</v>
      </c>
      <c r="G33" s="302">
        <v>6.9999999999999999E-4</v>
      </c>
      <c r="H33" s="296"/>
      <c r="I33" s="297"/>
    </row>
    <row r="34" spans="1:9" ht="12.95" customHeight="1" x14ac:dyDescent="0.2">
      <c r="A34" s="298" t="s">
        <v>108</v>
      </c>
      <c r="B34" s="299" t="s">
        <v>109</v>
      </c>
      <c r="C34" s="295" t="s">
        <v>110</v>
      </c>
      <c r="D34" s="295" t="s">
        <v>52</v>
      </c>
      <c r="E34" s="300">
        <v>710855</v>
      </c>
      <c r="F34" s="301">
        <v>2972.44</v>
      </c>
      <c r="G34" s="302">
        <v>2.0000000000000001E-4</v>
      </c>
      <c r="H34" s="296"/>
      <c r="I34" s="297"/>
    </row>
    <row r="35" spans="1:9" ht="12.95" customHeight="1" x14ac:dyDescent="0.2">
      <c r="A35" s="298" t="s">
        <v>111</v>
      </c>
      <c r="B35" s="299" t="s">
        <v>112</v>
      </c>
      <c r="C35" s="295" t="s">
        <v>113</v>
      </c>
      <c r="D35" s="295" t="s">
        <v>86</v>
      </c>
      <c r="E35" s="300">
        <v>464063</v>
      </c>
      <c r="F35" s="301">
        <v>2065.08</v>
      </c>
      <c r="G35" s="302">
        <v>2.0000000000000001E-4</v>
      </c>
      <c r="H35" s="296"/>
      <c r="I35" s="297"/>
    </row>
    <row r="36" spans="1:9" ht="12.95" customHeight="1" x14ac:dyDescent="0.2">
      <c r="A36" s="298" t="s">
        <v>114</v>
      </c>
      <c r="B36" s="299" t="s">
        <v>115</v>
      </c>
      <c r="C36" s="295" t="s">
        <v>116</v>
      </c>
      <c r="D36" s="295" t="s">
        <v>117</v>
      </c>
      <c r="E36" s="300">
        <v>47293</v>
      </c>
      <c r="F36" s="301">
        <v>1564.88</v>
      </c>
      <c r="G36" s="302">
        <v>1E-4</v>
      </c>
      <c r="H36" s="296"/>
      <c r="I36" s="297"/>
    </row>
    <row r="37" spans="1:9" ht="12.95" customHeight="1" x14ac:dyDescent="0.2">
      <c r="A37" s="298" t="s">
        <v>118</v>
      </c>
      <c r="B37" s="299" t="s">
        <v>119</v>
      </c>
      <c r="C37" s="295" t="s">
        <v>120</v>
      </c>
      <c r="D37" s="295" t="s">
        <v>101</v>
      </c>
      <c r="E37" s="300">
        <v>151687</v>
      </c>
      <c r="F37" s="301">
        <v>1538.11</v>
      </c>
      <c r="G37" s="302">
        <v>1E-4</v>
      </c>
      <c r="H37" s="296"/>
      <c r="I37" s="297"/>
    </row>
    <row r="38" spans="1:9" ht="12.95" customHeight="1" x14ac:dyDescent="0.2">
      <c r="A38" s="298" t="s">
        <v>121</v>
      </c>
      <c r="B38" s="299" t="s">
        <v>122</v>
      </c>
      <c r="C38" s="295" t="s">
        <v>123</v>
      </c>
      <c r="D38" s="295" t="s">
        <v>124</v>
      </c>
      <c r="E38" s="300">
        <v>481152</v>
      </c>
      <c r="F38" s="301">
        <v>700.65</v>
      </c>
      <c r="G38" s="302">
        <v>1E-4</v>
      </c>
      <c r="H38" s="296"/>
      <c r="I38" s="297"/>
    </row>
    <row r="39" spans="1:9" ht="12.95" customHeight="1" x14ac:dyDescent="0.2">
      <c r="A39" s="298" t="s">
        <v>125</v>
      </c>
      <c r="B39" s="299" t="s">
        <v>126</v>
      </c>
      <c r="C39" s="295" t="s">
        <v>127</v>
      </c>
      <c r="D39" s="295" t="s">
        <v>124</v>
      </c>
      <c r="E39" s="300">
        <v>53045</v>
      </c>
      <c r="F39" s="301">
        <v>492.1</v>
      </c>
      <c r="G39" s="302" t="s">
        <v>1256</v>
      </c>
      <c r="H39" s="296"/>
      <c r="I39" s="297"/>
    </row>
    <row r="40" spans="1:9" ht="12.95" customHeight="1" x14ac:dyDescent="0.2">
      <c r="A40" s="284"/>
      <c r="B40" s="303" t="s">
        <v>128</v>
      </c>
      <c r="C40" s="304"/>
      <c r="D40" s="304"/>
      <c r="E40" s="304"/>
      <c r="F40" s="305">
        <v>8608487.0399999991</v>
      </c>
      <c r="G40" s="306">
        <v>0.66749999999999998</v>
      </c>
      <c r="H40" s="307"/>
      <c r="I40" s="308"/>
    </row>
    <row r="41" spans="1:9" ht="12.95" customHeight="1" x14ac:dyDescent="0.2">
      <c r="A41" s="284"/>
      <c r="B41" s="294" t="s">
        <v>129</v>
      </c>
      <c r="C41" s="295"/>
      <c r="D41" s="295"/>
      <c r="E41" s="295"/>
      <c r="F41" s="284"/>
      <c r="G41" s="296"/>
      <c r="H41" s="296"/>
      <c r="I41" s="297"/>
    </row>
    <row r="42" spans="1:9" ht="12.95" customHeight="1" x14ac:dyDescent="0.2">
      <c r="A42" s="298" t="s">
        <v>130</v>
      </c>
      <c r="B42" s="299" t="s">
        <v>131</v>
      </c>
      <c r="C42" s="295" t="s">
        <v>132</v>
      </c>
      <c r="D42" s="295" t="s">
        <v>133</v>
      </c>
      <c r="E42" s="300">
        <v>2017500</v>
      </c>
      <c r="F42" s="301">
        <v>27113.18</v>
      </c>
      <c r="G42" s="302">
        <v>2.0999999999999999E-3</v>
      </c>
      <c r="H42" s="296"/>
      <c r="I42" s="297"/>
    </row>
    <row r="43" spans="1:9" ht="12.95" customHeight="1" x14ac:dyDescent="0.2">
      <c r="A43" s="298" t="s">
        <v>134</v>
      </c>
      <c r="B43" s="299" t="s">
        <v>135</v>
      </c>
      <c r="C43" s="295" t="s">
        <v>136</v>
      </c>
      <c r="D43" s="295" t="s">
        <v>137</v>
      </c>
      <c r="E43" s="300">
        <v>273350</v>
      </c>
      <c r="F43" s="301">
        <v>10801.15</v>
      </c>
      <c r="G43" s="302">
        <v>8.0000000000000004E-4</v>
      </c>
      <c r="H43" s="296"/>
      <c r="I43" s="297"/>
    </row>
    <row r="44" spans="1:9" ht="12.95" customHeight="1" x14ac:dyDescent="0.2">
      <c r="A44" s="298" t="s">
        <v>138</v>
      </c>
      <c r="B44" s="299" t="s">
        <v>139</v>
      </c>
      <c r="C44" s="295" t="s">
        <v>140</v>
      </c>
      <c r="D44" s="295" t="s">
        <v>65</v>
      </c>
      <c r="E44" s="300">
        <v>540050</v>
      </c>
      <c r="F44" s="301">
        <v>9489.76</v>
      </c>
      <c r="G44" s="302">
        <v>6.9999999999999999E-4</v>
      </c>
      <c r="H44" s="296"/>
      <c r="I44" s="297"/>
    </row>
    <row r="45" spans="1:9" ht="12.95" customHeight="1" x14ac:dyDescent="0.2">
      <c r="A45" s="298" t="s">
        <v>141</v>
      </c>
      <c r="B45" s="299" t="s">
        <v>142</v>
      </c>
      <c r="C45" s="295" t="s">
        <v>143</v>
      </c>
      <c r="D45" s="295" t="s">
        <v>144</v>
      </c>
      <c r="E45" s="300">
        <v>380800</v>
      </c>
      <c r="F45" s="301">
        <v>3367.99</v>
      </c>
      <c r="G45" s="302">
        <v>2.9999999999999997E-4</v>
      </c>
      <c r="H45" s="296"/>
      <c r="I45" s="297"/>
    </row>
    <row r="46" spans="1:9" ht="12.95" customHeight="1" x14ac:dyDescent="0.2">
      <c r="A46" s="298" t="s">
        <v>145</v>
      </c>
      <c r="B46" s="299" t="s">
        <v>146</v>
      </c>
      <c r="C46" s="295" t="s">
        <v>147</v>
      </c>
      <c r="D46" s="295" t="s">
        <v>15</v>
      </c>
      <c r="E46" s="300">
        <v>199500</v>
      </c>
      <c r="F46" s="301">
        <v>1501.14</v>
      </c>
      <c r="G46" s="302">
        <v>1E-4</v>
      </c>
      <c r="H46" s="296"/>
      <c r="I46" s="297"/>
    </row>
    <row r="47" spans="1:9" ht="12.95" customHeight="1" x14ac:dyDescent="0.2">
      <c r="A47" s="298" t="s">
        <v>148</v>
      </c>
      <c r="B47" s="299" t="s">
        <v>149</v>
      </c>
      <c r="C47" s="295" t="s">
        <v>150</v>
      </c>
      <c r="D47" s="295" t="s">
        <v>151</v>
      </c>
      <c r="E47" s="300">
        <v>49875</v>
      </c>
      <c r="F47" s="301">
        <v>199.82</v>
      </c>
      <c r="G47" s="302" t="s">
        <v>1256</v>
      </c>
      <c r="H47" s="296"/>
      <c r="I47" s="297"/>
    </row>
    <row r="48" spans="1:9" ht="12.95" customHeight="1" x14ac:dyDescent="0.2">
      <c r="A48" s="284"/>
      <c r="B48" s="303" t="s">
        <v>128</v>
      </c>
      <c r="C48" s="304"/>
      <c r="D48" s="304"/>
      <c r="E48" s="304"/>
      <c r="F48" s="305">
        <v>52473.04</v>
      </c>
      <c r="G48" s="306">
        <v>4.0000000000000001E-3</v>
      </c>
      <c r="H48" s="307"/>
      <c r="I48" s="308"/>
    </row>
    <row r="49" spans="1:9" ht="12.95" customHeight="1" x14ac:dyDescent="0.2">
      <c r="A49" s="284"/>
      <c r="B49" s="294" t="s">
        <v>152</v>
      </c>
      <c r="C49" s="295"/>
      <c r="D49" s="295"/>
      <c r="E49" s="295"/>
      <c r="F49" s="284"/>
      <c r="G49" s="296"/>
      <c r="H49" s="296"/>
      <c r="I49" s="297"/>
    </row>
    <row r="50" spans="1:9" ht="12.95" customHeight="1" x14ac:dyDescent="0.2">
      <c r="A50" s="298" t="s">
        <v>153</v>
      </c>
      <c r="B50" s="299" t="s">
        <v>154</v>
      </c>
      <c r="C50" s="295" t="s">
        <v>155</v>
      </c>
      <c r="D50" s="295" t="s">
        <v>156</v>
      </c>
      <c r="E50" s="300">
        <v>79762247</v>
      </c>
      <c r="F50" s="301">
        <v>335232.75</v>
      </c>
      <c r="G50" s="302">
        <v>2.5999999999999999E-2</v>
      </c>
      <c r="H50" s="296"/>
      <c r="I50" s="297"/>
    </row>
    <row r="51" spans="1:9" ht="12.95" customHeight="1" x14ac:dyDescent="0.2">
      <c r="A51" s="298" t="s">
        <v>157</v>
      </c>
      <c r="B51" s="299" t="s">
        <v>158</v>
      </c>
      <c r="C51" s="295" t="s">
        <v>159</v>
      </c>
      <c r="D51" s="295" t="s">
        <v>156</v>
      </c>
      <c r="E51" s="300">
        <v>43530870</v>
      </c>
      <c r="F51" s="301">
        <v>140905.07</v>
      </c>
      <c r="G51" s="302">
        <v>1.09E-2</v>
      </c>
      <c r="H51" s="296"/>
      <c r="I51" s="297"/>
    </row>
    <row r="52" spans="1:9" ht="12.95" customHeight="1" x14ac:dyDescent="0.2">
      <c r="A52" s="298" t="s">
        <v>160</v>
      </c>
      <c r="B52" s="299" t="s">
        <v>161</v>
      </c>
      <c r="C52" s="295" t="s">
        <v>162</v>
      </c>
      <c r="D52" s="295" t="s">
        <v>156</v>
      </c>
      <c r="E52" s="300">
        <v>870684</v>
      </c>
      <c r="F52" s="301">
        <v>3910.76</v>
      </c>
      <c r="G52" s="302">
        <v>2.9999999999999997E-4</v>
      </c>
      <c r="H52" s="296"/>
      <c r="I52" s="297"/>
    </row>
    <row r="53" spans="1:9" ht="12.95" customHeight="1" x14ac:dyDescent="0.2">
      <c r="A53" s="284"/>
      <c r="B53" s="303" t="s">
        <v>128</v>
      </c>
      <c r="C53" s="304"/>
      <c r="D53" s="304"/>
      <c r="E53" s="304"/>
      <c r="F53" s="305">
        <v>480048.58</v>
      </c>
      <c r="G53" s="306">
        <v>3.7199999999999997E-2</v>
      </c>
      <c r="H53" s="307"/>
      <c r="I53" s="308"/>
    </row>
    <row r="54" spans="1:9" ht="12.95" customHeight="1" x14ac:dyDescent="0.2">
      <c r="A54" s="284"/>
      <c r="B54" s="303" t="s">
        <v>163</v>
      </c>
      <c r="C54" s="304"/>
      <c r="D54" s="304"/>
      <c r="E54" s="304"/>
      <c r="F54" s="307" t="s">
        <v>164</v>
      </c>
      <c r="G54" s="307" t="s">
        <v>164</v>
      </c>
      <c r="H54" s="307"/>
      <c r="I54" s="308"/>
    </row>
    <row r="55" spans="1:9" ht="12.95" customHeight="1" x14ac:dyDescent="0.2">
      <c r="A55" s="284"/>
      <c r="B55" s="303" t="s">
        <v>128</v>
      </c>
      <c r="C55" s="304"/>
      <c r="D55" s="304"/>
      <c r="E55" s="304"/>
      <c r="F55" s="307" t="s">
        <v>164</v>
      </c>
      <c r="G55" s="307" t="s">
        <v>164</v>
      </c>
      <c r="H55" s="307"/>
      <c r="I55" s="308"/>
    </row>
    <row r="56" spans="1:9" ht="12.95" customHeight="1" x14ac:dyDescent="0.2">
      <c r="A56" s="284"/>
      <c r="B56" s="303" t="s">
        <v>165</v>
      </c>
      <c r="C56" s="309"/>
      <c r="D56" s="304"/>
      <c r="E56" s="309"/>
      <c r="F56" s="305">
        <v>9141008.6600000001</v>
      </c>
      <c r="G56" s="306">
        <v>0.7087</v>
      </c>
      <c r="H56" s="307"/>
      <c r="I56" s="308"/>
    </row>
    <row r="57" spans="1:9" ht="12.95" customHeight="1" x14ac:dyDescent="0.2">
      <c r="A57" s="284"/>
      <c r="B57" s="294" t="s">
        <v>166</v>
      </c>
      <c r="C57" s="295"/>
      <c r="D57" s="295"/>
      <c r="E57" s="295"/>
      <c r="F57" s="295"/>
      <c r="G57" s="295"/>
      <c r="H57" s="296"/>
      <c r="I57" s="297"/>
    </row>
    <row r="58" spans="1:9" ht="12.95" customHeight="1" x14ac:dyDescent="0.2">
      <c r="A58" s="284"/>
      <c r="B58" s="294" t="s">
        <v>11</v>
      </c>
      <c r="C58" s="295"/>
      <c r="D58" s="295"/>
      <c r="E58" s="295"/>
      <c r="F58" s="284"/>
      <c r="G58" s="296"/>
      <c r="H58" s="296"/>
      <c r="I58" s="297"/>
    </row>
    <row r="59" spans="1:9" ht="12.95" customHeight="1" x14ac:dyDescent="0.2">
      <c r="A59" s="298" t="s">
        <v>167</v>
      </c>
      <c r="B59" s="299" t="s">
        <v>168</v>
      </c>
      <c r="C59" s="295" t="s">
        <v>169</v>
      </c>
      <c r="D59" s="295" t="s">
        <v>1190</v>
      </c>
      <c r="E59" s="300">
        <v>1889757</v>
      </c>
      <c r="F59" s="301">
        <v>515148.79999999999</v>
      </c>
      <c r="G59" s="302">
        <v>3.9899999999999998E-2</v>
      </c>
      <c r="H59" s="296"/>
      <c r="I59" s="297"/>
    </row>
    <row r="60" spans="1:9" ht="12.95" customHeight="1" x14ac:dyDescent="0.2">
      <c r="A60" s="298" t="s">
        <v>170</v>
      </c>
      <c r="B60" s="299" t="s">
        <v>171</v>
      </c>
      <c r="C60" s="295" t="s">
        <v>172</v>
      </c>
      <c r="D60" s="295" t="s">
        <v>1190</v>
      </c>
      <c r="E60" s="300">
        <v>591056</v>
      </c>
      <c r="F60" s="301">
        <v>320569.06</v>
      </c>
      <c r="G60" s="302">
        <v>2.4899999999999999E-2</v>
      </c>
      <c r="H60" s="296"/>
      <c r="I60" s="297"/>
    </row>
    <row r="61" spans="1:9" ht="12.95" customHeight="1" x14ac:dyDescent="0.2">
      <c r="A61" s="298" t="s">
        <v>173</v>
      </c>
      <c r="B61" s="299" t="s">
        <v>174</v>
      </c>
      <c r="C61" s="295" t="s">
        <v>175</v>
      </c>
      <c r="D61" s="295" t="s">
        <v>1191</v>
      </c>
      <c r="E61" s="300">
        <v>1382258</v>
      </c>
      <c r="F61" s="301">
        <v>272906.63</v>
      </c>
      <c r="G61" s="302">
        <v>2.12E-2</v>
      </c>
      <c r="H61" s="296"/>
      <c r="I61" s="297"/>
    </row>
    <row r="62" spans="1:9" ht="12.95" customHeight="1" x14ac:dyDescent="0.2">
      <c r="A62" s="298" t="s">
        <v>176</v>
      </c>
      <c r="B62" s="299" t="s">
        <v>177</v>
      </c>
      <c r="C62" s="295" t="s">
        <v>178</v>
      </c>
      <c r="D62" s="295" t="s">
        <v>1192</v>
      </c>
      <c r="E62" s="300">
        <v>733019</v>
      </c>
      <c r="F62" s="301">
        <v>257225.91</v>
      </c>
      <c r="G62" s="302">
        <v>1.9900000000000001E-2</v>
      </c>
      <c r="H62" s="296"/>
      <c r="I62" s="297"/>
    </row>
    <row r="63" spans="1:9" ht="12.95" customHeight="1" x14ac:dyDescent="0.2">
      <c r="A63" s="284"/>
      <c r="B63" s="303" t="s">
        <v>128</v>
      </c>
      <c r="C63" s="304"/>
      <c r="D63" s="304"/>
      <c r="E63" s="304"/>
      <c r="F63" s="305">
        <v>1365850.4</v>
      </c>
      <c r="G63" s="306">
        <v>0.10589999999999999</v>
      </c>
      <c r="H63" s="307"/>
      <c r="I63" s="308"/>
    </row>
    <row r="64" spans="1:9" ht="12.95" customHeight="1" x14ac:dyDescent="0.2">
      <c r="A64" s="284"/>
      <c r="B64" s="303" t="s">
        <v>165</v>
      </c>
      <c r="C64" s="309"/>
      <c r="D64" s="304"/>
      <c r="E64" s="309"/>
      <c r="F64" s="305">
        <v>1365850.4</v>
      </c>
      <c r="G64" s="306">
        <v>0.10589999999999999</v>
      </c>
      <c r="H64" s="307"/>
      <c r="I64" s="308"/>
    </row>
    <row r="65" spans="1:9" ht="12.95" customHeight="1" x14ac:dyDescent="0.2">
      <c r="A65" s="284"/>
      <c r="B65" s="294" t="s">
        <v>194</v>
      </c>
      <c r="C65" s="295"/>
      <c r="D65" s="295"/>
      <c r="E65" s="295"/>
      <c r="F65" s="295"/>
      <c r="G65" s="295"/>
      <c r="H65" s="296"/>
      <c r="I65" s="297"/>
    </row>
    <row r="66" spans="1:9" ht="12.95" customHeight="1" x14ac:dyDescent="0.2">
      <c r="A66" s="284"/>
      <c r="B66" s="294" t="s">
        <v>195</v>
      </c>
      <c r="C66" s="295"/>
      <c r="D66" s="295"/>
      <c r="E66" s="295"/>
      <c r="F66" s="284"/>
      <c r="G66" s="296"/>
      <c r="H66" s="296"/>
      <c r="I66" s="297"/>
    </row>
    <row r="67" spans="1:9" ht="12.95" customHeight="1" x14ac:dyDescent="0.2">
      <c r="A67" s="298" t="s">
        <v>196</v>
      </c>
      <c r="B67" s="299" t="s">
        <v>1193</v>
      </c>
      <c r="C67" s="295" t="s">
        <v>197</v>
      </c>
      <c r="D67" s="295" t="s">
        <v>198</v>
      </c>
      <c r="E67" s="300">
        <v>13500</v>
      </c>
      <c r="F67" s="301">
        <v>65219.99</v>
      </c>
      <c r="G67" s="302">
        <v>5.1000000000000004E-3</v>
      </c>
      <c r="H67" s="310">
        <v>7.2499999999999995E-2</v>
      </c>
      <c r="I67" s="297"/>
    </row>
    <row r="68" spans="1:9" ht="12.95" customHeight="1" x14ac:dyDescent="0.2">
      <c r="A68" s="298" t="s">
        <v>199</v>
      </c>
      <c r="B68" s="299" t="s">
        <v>1194</v>
      </c>
      <c r="C68" s="295" t="s">
        <v>200</v>
      </c>
      <c r="D68" s="295" t="s">
        <v>198</v>
      </c>
      <c r="E68" s="300">
        <v>13000</v>
      </c>
      <c r="F68" s="301">
        <v>63317.02</v>
      </c>
      <c r="G68" s="302">
        <v>4.8999999999999998E-3</v>
      </c>
      <c r="H68" s="310">
        <v>7.3499999999999996E-2</v>
      </c>
      <c r="I68" s="297"/>
    </row>
    <row r="69" spans="1:9" ht="12.95" customHeight="1" x14ac:dyDescent="0.2">
      <c r="A69" s="298" t="s">
        <v>201</v>
      </c>
      <c r="B69" s="299" t="s">
        <v>1395</v>
      </c>
      <c r="C69" s="295" t="s">
        <v>202</v>
      </c>
      <c r="D69" s="295" t="s">
        <v>1257</v>
      </c>
      <c r="E69" s="300">
        <v>12500</v>
      </c>
      <c r="F69" s="301">
        <v>60481.75</v>
      </c>
      <c r="G69" s="302">
        <v>4.7000000000000002E-3</v>
      </c>
      <c r="H69" s="310">
        <v>7.2498999999999994E-2</v>
      </c>
      <c r="I69" s="297"/>
    </row>
    <row r="70" spans="1:9" ht="12.95" customHeight="1" x14ac:dyDescent="0.2">
      <c r="A70" s="298" t="s">
        <v>203</v>
      </c>
      <c r="B70" s="299" t="s">
        <v>1195</v>
      </c>
      <c r="C70" s="295" t="s">
        <v>204</v>
      </c>
      <c r="D70" s="295" t="s">
        <v>198</v>
      </c>
      <c r="E70" s="300">
        <v>12000</v>
      </c>
      <c r="F70" s="301">
        <v>59140.800000000003</v>
      </c>
      <c r="G70" s="302">
        <v>4.5999999999999999E-3</v>
      </c>
      <c r="H70" s="310">
        <v>7.3649000000000006E-2</v>
      </c>
      <c r="I70" s="297"/>
    </row>
    <row r="71" spans="1:9" ht="12.95" customHeight="1" x14ac:dyDescent="0.2">
      <c r="A71" s="298" t="s">
        <v>205</v>
      </c>
      <c r="B71" s="299" t="s">
        <v>1196</v>
      </c>
      <c r="C71" s="295" t="s">
        <v>206</v>
      </c>
      <c r="D71" s="295" t="s">
        <v>207</v>
      </c>
      <c r="E71" s="300">
        <v>11000</v>
      </c>
      <c r="F71" s="301">
        <v>54070.78</v>
      </c>
      <c r="G71" s="302">
        <v>4.1999999999999997E-3</v>
      </c>
      <c r="H71" s="310">
        <v>7.3798000000000002E-2</v>
      </c>
      <c r="I71" s="297"/>
    </row>
    <row r="72" spans="1:9" ht="12.95" customHeight="1" x14ac:dyDescent="0.2">
      <c r="A72" s="298" t="s">
        <v>208</v>
      </c>
      <c r="B72" s="299" t="s">
        <v>1197</v>
      </c>
      <c r="C72" s="295" t="s">
        <v>209</v>
      </c>
      <c r="D72" s="295" t="s">
        <v>198</v>
      </c>
      <c r="E72" s="300">
        <v>10000</v>
      </c>
      <c r="F72" s="301">
        <v>48424.6</v>
      </c>
      <c r="G72" s="302">
        <v>3.8E-3</v>
      </c>
      <c r="H72" s="310">
        <v>7.3300000000000004E-2</v>
      </c>
      <c r="I72" s="297"/>
    </row>
    <row r="73" spans="1:9" ht="12.95" customHeight="1" x14ac:dyDescent="0.2">
      <c r="A73" s="298" t="s">
        <v>210</v>
      </c>
      <c r="B73" s="299" t="s">
        <v>1198</v>
      </c>
      <c r="C73" s="295" t="s">
        <v>211</v>
      </c>
      <c r="D73" s="295" t="s">
        <v>198</v>
      </c>
      <c r="E73" s="300">
        <v>10000</v>
      </c>
      <c r="F73" s="301">
        <v>48347.199999999997</v>
      </c>
      <c r="G73" s="302">
        <v>3.7000000000000002E-3</v>
      </c>
      <c r="H73" s="310">
        <v>7.3400999999999994E-2</v>
      </c>
      <c r="I73" s="297"/>
    </row>
    <row r="74" spans="1:9" ht="12.95" customHeight="1" x14ac:dyDescent="0.2">
      <c r="A74" s="298" t="s">
        <v>212</v>
      </c>
      <c r="B74" s="299" t="s">
        <v>1199</v>
      </c>
      <c r="C74" s="295" t="s">
        <v>213</v>
      </c>
      <c r="D74" s="295" t="s">
        <v>198</v>
      </c>
      <c r="E74" s="300">
        <v>10000</v>
      </c>
      <c r="F74" s="301">
        <v>47551.8</v>
      </c>
      <c r="G74" s="302">
        <v>3.7000000000000002E-3</v>
      </c>
      <c r="H74" s="310">
        <v>7.1999999999999995E-2</v>
      </c>
      <c r="I74" s="297"/>
    </row>
    <row r="75" spans="1:9" ht="12.95" customHeight="1" x14ac:dyDescent="0.2">
      <c r="A75" s="298" t="s">
        <v>214</v>
      </c>
      <c r="B75" s="299" t="s">
        <v>1396</v>
      </c>
      <c r="C75" s="295" t="s">
        <v>215</v>
      </c>
      <c r="D75" s="295" t="s">
        <v>198</v>
      </c>
      <c r="E75" s="300">
        <v>9500</v>
      </c>
      <c r="F75" s="301">
        <v>47152.97</v>
      </c>
      <c r="G75" s="302">
        <v>3.7000000000000002E-3</v>
      </c>
      <c r="H75" s="310">
        <v>7.9005000000000006E-2</v>
      </c>
      <c r="I75" s="297"/>
    </row>
    <row r="76" spans="1:9" ht="12.95" customHeight="1" x14ac:dyDescent="0.2">
      <c r="A76" s="298" t="s">
        <v>216</v>
      </c>
      <c r="B76" s="299" t="s">
        <v>1200</v>
      </c>
      <c r="C76" s="295" t="s">
        <v>217</v>
      </c>
      <c r="D76" s="295" t="s">
        <v>198</v>
      </c>
      <c r="E76" s="300">
        <v>9000</v>
      </c>
      <c r="F76" s="301">
        <v>42767.55</v>
      </c>
      <c r="G76" s="302">
        <v>3.3E-3</v>
      </c>
      <c r="H76" s="310">
        <v>7.2999999999999995E-2</v>
      </c>
      <c r="I76" s="297"/>
    </row>
    <row r="77" spans="1:9" ht="12.95" customHeight="1" x14ac:dyDescent="0.2">
      <c r="A77" s="298" t="s">
        <v>218</v>
      </c>
      <c r="B77" s="299" t="s">
        <v>1397</v>
      </c>
      <c r="C77" s="295" t="s">
        <v>219</v>
      </c>
      <c r="D77" s="295" t="s">
        <v>198</v>
      </c>
      <c r="E77" s="300">
        <v>8000</v>
      </c>
      <c r="F77" s="301">
        <v>39321.32</v>
      </c>
      <c r="G77" s="302">
        <v>3.0000000000000001E-3</v>
      </c>
      <c r="H77" s="310">
        <v>7.4997999999999995E-2</v>
      </c>
      <c r="I77" s="297"/>
    </row>
    <row r="78" spans="1:9" ht="12.95" customHeight="1" x14ac:dyDescent="0.2">
      <c r="A78" s="298" t="s">
        <v>220</v>
      </c>
      <c r="B78" s="299" t="s">
        <v>1201</v>
      </c>
      <c r="C78" s="295" t="s">
        <v>221</v>
      </c>
      <c r="D78" s="295" t="s">
        <v>198</v>
      </c>
      <c r="E78" s="300">
        <v>8000</v>
      </c>
      <c r="F78" s="301">
        <v>38285.96</v>
      </c>
      <c r="G78" s="302">
        <v>3.0000000000000001E-3</v>
      </c>
      <c r="H78" s="310">
        <v>7.2950000000000001E-2</v>
      </c>
      <c r="I78" s="297"/>
    </row>
    <row r="79" spans="1:9" ht="12.95" customHeight="1" x14ac:dyDescent="0.2">
      <c r="A79" s="298" t="s">
        <v>222</v>
      </c>
      <c r="B79" s="299" t="s">
        <v>1202</v>
      </c>
      <c r="C79" s="295" t="s">
        <v>223</v>
      </c>
      <c r="D79" s="295" t="s">
        <v>207</v>
      </c>
      <c r="E79" s="300">
        <v>7000</v>
      </c>
      <c r="F79" s="301">
        <v>34497.82</v>
      </c>
      <c r="G79" s="302">
        <v>2.7000000000000001E-3</v>
      </c>
      <c r="H79" s="310">
        <v>7.3798000000000002E-2</v>
      </c>
      <c r="I79" s="297"/>
    </row>
    <row r="80" spans="1:9" ht="12.95" customHeight="1" x14ac:dyDescent="0.2">
      <c r="A80" s="298" t="s">
        <v>224</v>
      </c>
      <c r="B80" s="299" t="s">
        <v>1203</v>
      </c>
      <c r="C80" s="295" t="s">
        <v>225</v>
      </c>
      <c r="D80" s="295" t="s">
        <v>198</v>
      </c>
      <c r="E80" s="300">
        <v>6500</v>
      </c>
      <c r="F80" s="301">
        <v>32034.28</v>
      </c>
      <c r="G80" s="302">
        <v>2.5000000000000001E-3</v>
      </c>
      <c r="H80" s="310">
        <v>7.3701000000000003E-2</v>
      </c>
      <c r="I80" s="297"/>
    </row>
    <row r="81" spans="1:9" ht="12.95" customHeight="1" x14ac:dyDescent="0.2">
      <c r="A81" s="298" t="s">
        <v>226</v>
      </c>
      <c r="B81" s="299" t="s">
        <v>1204</v>
      </c>
      <c r="C81" s="295" t="s">
        <v>227</v>
      </c>
      <c r="D81" s="295" t="s">
        <v>1257</v>
      </c>
      <c r="E81" s="300">
        <v>6500</v>
      </c>
      <c r="F81" s="301">
        <v>31781.75</v>
      </c>
      <c r="G81" s="302">
        <v>2.5000000000000001E-3</v>
      </c>
      <c r="H81" s="310">
        <v>7.2999999999999995E-2</v>
      </c>
      <c r="I81" s="297"/>
    </row>
    <row r="82" spans="1:9" ht="12.95" customHeight="1" x14ac:dyDescent="0.2">
      <c r="A82" s="298" t="s">
        <v>228</v>
      </c>
      <c r="B82" s="299" t="s">
        <v>1398</v>
      </c>
      <c r="C82" s="295" t="s">
        <v>229</v>
      </c>
      <c r="D82" s="295" t="s">
        <v>198</v>
      </c>
      <c r="E82" s="300">
        <v>6000</v>
      </c>
      <c r="F82" s="301">
        <v>29574.3</v>
      </c>
      <c r="G82" s="302">
        <v>2.3E-3</v>
      </c>
      <c r="H82" s="310">
        <v>7.3998999999999995E-2</v>
      </c>
      <c r="I82" s="297"/>
    </row>
    <row r="83" spans="1:9" ht="12.95" customHeight="1" x14ac:dyDescent="0.2">
      <c r="A83" s="298" t="s">
        <v>230</v>
      </c>
      <c r="B83" s="299" t="s">
        <v>1205</v>
      </c>
      <c r="C83" s="295" t="s">
        <v>231</v>
      </c>
      <c r="D83" s="295" t="s">
        <v>198</v>
      </c>
      <c r="E83" s="300">
        <v>6000</v>
      </c>
      <c r="F83" s="301">
        <v>29306.01</v>
      </c>
      <c r="G83" s="302">
        <v>2.3E-3</v>
      </c>
      <c r="H83" s="310">
        <v>7.3249999999999996E-2</v>
      </c>
      <c r="I83" s="297"/>
    </row>
    <row r="84" spans="1:9" ht="12.95" customHeight="1" x14ac:dyDescent="0.2">
      <c r="A84" s="298" t="s">
        <v>232</v>
      </c>
      <c r="B84" s="299" t="s">
        <v>1206</v>
      </c>
      <c r="C84" s="295" t="s">
        <v>233</v>
      </c>
      <c r="D84" s="295" t="s">
        <v>198</v>
      </c>
      <c r="E84" s="300">
        <v>6000</v>
      </c>
      <c r="F84" s="301">
        <v>28975.86</v>
      </c>
      <c r="G84" s="302">
        <v>2.2000000000000001E-3</v>
      </c>
      <c r="H84" s="310">
        <v>7.3300000000000004E-2</v>
      </c>
      <c r="I84" s="297"/>
    </row>
    <row r="85" spans="1:9" ht="12.95" customHeight="1" x14ac:dyDescent="0.2">
      <c r="A85" s="298" t="s">
        <v>234</v>
      </c>
      <c r="B85" s="299" t="s">
        <v>1207</v>
      </c>
      <c r="C85" s="295" t="s">
        <v>235</v>
      </c>
      <c r="D85" s="295" t="s">
        <v>198</v>
      </c>
      <c r="E85" s="300">
        <v>6000</v>
      </c>
      <c r="F85" s="301">
        <v>28881.33</v>
      </c>
      <c r="G85" s="302">
        <v>2.2000000000000001E-3</v>
      </c>
      <c r="H85" s="310">
        <v>7.2499999999999995E-2</v>
      </c>
      <c r="I85" s="297"/>
    </row>
    <row r="86" spans="1:9" ht="12.95" customHeight="1" x14ac:dyDescent="0.2">
      <c r="A86" s="298" t="s">
        <v>236</v>
      </c>
      <c r="B86" s="299" t="s">
        <v>1208</v>
      </c>
      <c r="C86" s="295" t="s">
        <v>237</v>
      </c>
      <c r="D86" s="295" t="s">
        <v>198</v>
      </c>
      <c r="E86" s="300">
        <v>6000</v>
      </c>
      <c r="F86" s="301">
        <v>28781.37</v>
      </c>
      <c r="G86" s="302">
        <v>2.2000000000000001E-3</v>
      </c>
      <c r="H86" s="310">
        <v>7.2899000000000005E-2</v>
      </c>
      <c r="I86" s="297"/>
    </row>
    <row r="87" spans="1:9" ht="12.95" customHeight="1" x14ac:dyDescent="0.2">
      <c r="A87" s="298" t="s">
        <v>238</v>
      </c>
      <c r="B87" s="299" t="s">
        <v>1209</v>
      </c>
      <c r="C87" s="295" t="s">
        <v>239</v>
      </c>
      <c r="D87" s="295" t="s">
        <v>198</v>
      </c>
      <c r="E87" s="300">
        <v>6000</v>
      </c>
      <c r="F87" s="301">
        <v>28323.27</v>
      </c>
      <c r="G87" s="302">
        <v>2.2000000000000001E-3</v>
      </c>
      <c r="H87" s="310">
        <v>7.2999999999999995E-2</v>
      </c>
      <c r="I87" s="297"/>
    </row>
    <row r="88" spans="1:9" ht="12.95" customHeight="1" x14ac:dyDescent="0.2">
      <c r="A88" s="298" t="s">
        <v>240</v>
      </c>
      <c r="B88" s="299" t="s">
        <v>1210</v>
      </c>
      <c r="C88" s="295" t="s">
        <v>241</v>
      </c>
      <c r="D88" s="295" t="s">
        <v>1257</v>
      </c>
      <c r="E88" s="300">
        <v>5000</v>
      </c>
      <c r="F88" s="301">
        <v>24048.35</v>
      </c>
      <c r="G88" s="302">
        <v>1.9E-3</v>
      </c>
      <c r="H88" s="310">
        <v>7.2950000000000001E-2</v>
      </c>
      <c r="I88" s="297"/>
    </row>
    <row r="89" spans="1:9" ht="12.95" customHeight="1" x14ac:dyDescent="0.2">
      <c r="A89" s="298" t="s">
        <v>242</v>
      </c>
      <c r="B89" s="299" t="s">
        <v>1211</v>
      </c>
      <c r="C89" s="295" t="s">
        <v>243</v>
      </c>
      <c r="D89" s="295" t="s">
        <v>207</v>
      </c>
      <c r="E89" s="300">
        <v>5000</v>
      </c>
      <c r="F89" s="301">
        <v>23625.05</v>
      </c>
      <c r="G89" s="302">
        <v>1.8E-3</v>
      </c>
      <c r="H89" s="310">
        <v>7.2499999999999995E-2</v>
      </c>
      <c r="I89" s="297"/>
    </row>
    <row r="90" spans="1:9" ht="12.95" customHeight="1" x14ac:dyDescent="0.2">
      <c r="A90" s="298" t="s">
        <v>244</v>
      </c>
      <c r="B90" s="299" t="s">
        <v>1212</v>
      </c>
      <c r="C90" s="295" t="s">
        <v>245</v>
      </c>
      <c r="D90" s="295" t="s">
        <v>198</v>
      </c>
      <c r="E90" s="300">
        <v>5000</v>
      </c>
      <c r="F90" s="301">
        <v>23540.5</v>
      </c>
      <c r="G90" s="302">
        <v>1.8E-3</v>
      </c>
      <c r="H90" s="310">
        <v>7.2999999999999995E-2</v>
      </c>
      <c r="I90" s="297"/>
    </row>
    <row r="91" spans="1:9" ht="12.95" customHeight="1" x14ac:dyDescent="0.2">
      <c r="A91" s="298" t="s">
        <v>246</v>
      </c>
      <c r="B91" s="299" t="s">
        <v>1213</v>
      </c>
      <c r="C91" s="295" t="s">
        <v>247</v>
      </c>
      <c r="D91" s="295" t="s">
        <v>198</v>
      </c>
      <c r="E91" s="300">
        <v>4500</v>
      </c>
      <c r="F91" s="301">
        <v>21282.53</v>
      </c>
      <c r="G91" s="302">
        <v>1.6999999999999999E-3</v>
      </c>
      <c r="H91" s="310">
        <v>7.2499999999999995E-2</v>
      </c>
      <c r="I91" s="297"/>
    </row>
    <row r="92" spans="1:9" ht="12.95" customHeight="1" x14ac:dyDescent="0.2">
      <c r="A92" s="298" t="s">
        <v>248</v>
      </c>
      <c r="B92" s="299" t="s">
        <v>1399</v>
      </c>
      <c r="C92" s="295" t="s">
        <v>249</v>
      </c>
      <c r="D92" s="295" t="s">
        <v>198</v>
      </c>
      <c r="E92" s="300">
        <v>4000</v>
      </c>
      <c r="F92" s="301">
        <v>19849.02</v>
      </c>
      <c r="G92" s="302">
        <v>1.5E-3</v>
      </c>
      <c r="H92" s="310">
        <v>7.9326999999999995E-2</v>
      </c>
      <c r="I92" s="297"/>
    </row>
    <row r="93" spans="1:9" ht="12.95" customHeight="1" x14ac:dyDescent="0.2">
      <c r="A93" s="298" t="s">
        <v>250</v>
      </c>
      <c r="B93" s="299" t="s">
        <v>1400</v>
      </c>
      <c r="C93" s="295" t="s">
        <v>251</v>
      </c>
      <c r="D93" s="295" t="s">
        <v>252</v>
      </c>
      <c r="E93" s="300">
        <v>4000</v>
      </c>
      <c r="F93" s="301">
        <v>19715.5</v>
      </c>
      <c r="G93" s="302">
        <v>1.5E-3</v>
      </c>
      <c r="H93" s="310">
        <v>7.3152999999999996E-2</v>
      </c>
      <c r="I93" s="297"/>
    </row>
    <row r="94" spans="1:9" ht="12.95" customHeight="1" x14ac:dyDescent="0.2">
      <c r="A94" s="298" t="s">
        <v>253</v>
      </c>
      <c r="B94" s="299" t="s">
        <v>1214</v>
      </c>
      <c r="C94" s="295" t="s">
        <v>254</v>
      </c>
      <c r="D94" s="295" t="s">
        <v>198</v>
      </c>
      <c r="E94" s="300">
        <v>4000</v>
      </c>
      <c r="F94" s="301">
        <v>19018.64</v>
      </c>
      <c r="G94" s="302">
        <v>1.5E-3</v>
      </c>
      <c r="H94" s="310">
        <v>7.2999999999999995E-2</v>
      </c>
      <c r="I94" s="297"/>
    </row>
    <row r="95" spans="1:9" ht="12.95" customHeight="1" x14ac:dyDescent="0.2">
      <c r="A95" s="298" t="s">
        <v>255</v>
      </c>
      <c r="B95" s="299" t="s">
        <v>1215</v>
      </c>
      <c r="C95" s="295" t="s">
        <v>256</v>
      </c>
      <c r="D95" s="295" t="s">
        <v>1257</v>
      </c>
      <c r="E95" s="300">
        <v>4000</v>
      </c>
      <c r="F95" s="301">
        <v>19018.64</v>
      </c>
      <c r="G95" s="302">
        <v>1.5E-3</v>
      </c>
      <c r="H95" s="310">
        <v>7.2999999999999995E-2</v>
      </c>
      <c r="I95" s="297"/>
    </row>
    <row r="96" spans="1:9" ht="12.95" customHeight="1" x14ac:dyDescent="0.2">
      <c r="A96" s="298" t="s">
        <v>257</v>
      </c>
      <c r="B96" s="299" t="s">
        <v>1216</v>
      </c>
      <c r="C96" s="295" t="s">
        <v>258</v>
      </c>
      <c r="D96" s="295" t="s">
        <v>198</v>
      </c>
      <c r="E96" s="300">
        <v>4000</v>
      </c>
      <c r="F96" s="301">
        <v>18947.48</v>
      </c>
      <c r="G96" s="302">
        <v>1.5E-3</v>
      </c>
      <c r="H96" s="310">
        <v>7.1900000000000006E-2</v>
      </c>
      <c r="I96" s="297"/>
    </row>
    <row r="97" spans="1:9" ht="12.95" customHeight="1" x14ac:dyDescent="0.2">
      <c r="A97" s="298" t="s">
        <v>259</v>
      </c>
      <c r="B97" s="299" t="s">
        <v>1217</v>
      </c>
      <c r="C97" s="295" t="s">
        <v>260</v>
      </c>
      <c r="D97" s="295" t="s">
        <v>207</v>
      </c>
      <c r="E97" s="300">
        <v>4000</v>
      </c>
      <c r="F97" s="301">
        <v>18879.060000000001</v>
      </c>
      <c r="G97" s="302">
        <v>1.5E-3</v>
      </c>
      <c r="H97" s="310">
        <v>7.1999999999999995E-2</v>
      </c>
      <c r="I97" s="297"/>
    </row>
    <row r="98" spans="1:9" ht="12.95" customHeight="1" x14ac:dyDescent="0.2">
      <c r="A98" s="298" t="s">
        <v>261</v>
      </c>
      <c r="B98" s="299" t="s">
        <v>1218</v>
      </c>
      <c r="C98" s="295" t="s">
        <v>262</v>
      </c>
      <c r="D98" s="295" t="s">
        <v>198</v>
      </c>
      <c r="E98" s="300">
        <v>3500</v>
      </c>
      <c r="F98" s="301">
        <v>17204.34</v>
      </c>
      <c r="G98" s="302">
        <v>1.2999999999999999E-3</v>
      </c>
      <c r="H98" s="310">
        <v>7.3798000000000002E-2</v>
      </c>
      <c r="I98" s="297"/>
    </row>
    <row r="99" spans="1:9" ht="12.95" customHeight="1" x14ac:dyDescent="0.2">
      <c r="A99" s="298" t="s">
        <v>263</v>
      </c>
      <c r="B99" s="299" t="s">
        <v>1219</v>
      </c>
      <c r="C99" s="295" t="s">
        <v>264</v>
      </c>
      <c r="D99" s="295" t="s">
        <v>1257</v>
      </c>
      <c r="E99" s="300">
        <v>3500</v>
      </c>
      <c r="F99" s="301">
        <v>16705.38</v>
      </c>
      <c r="G99" s="302">
        <v>1.2999999999999999E-3</v>
      </c>
      <c r="H99" s="310">
        <v>7.2950000000000001E-2</v>
      </c>
      <c r="I99" s="297"/>
    </row>
    <row r="100" spans="1:9" ht="12.95" customHeight="1" x14ac:dyDescent="0.2">
      <c r="A100" s="298" t="s">
        <v>265</v>
      </c>
      <c r="B100" s="299" t="s">
        <v>1220</v>
      </c>
      <c r="C100" s="295" t="s">
        <v>266</v>
      </c>
      <c r="D100" s="295" t="s">
        <v>252</v>
      </c>
      <c r="E100" s="300">
        <v>3500</v>
      </c>
      <c r="F100" s="301">
        <v>16643.759999999998</v>
      </c>
      <c r="G100" s="302">
        <v>1.2999999999999999E-3</v>
      </c>
      <c r="H100" s="310">
        <v>7.2499999999999995E-2</v>
      </c>
      <c r="I100" s="297"/>
    </row>
    <row r="101" spans="1:9" ht="12.95" customHeight="1" x14ac:dyDescent="0.2">
      <c r="A101" s="298" t="s">
        <v>267</v>
      </c>
      <c r="B101" s="299" t="s">
        <v>1221</v>
      </c>
      <c r="C101" s="295" t="s">
        <v>268</v>
      </c>
      <c r="D101" s="295" t="s">
        <v>1257</v>
      </c>
      <c r="E101" s="300">
        <v>3000</v>
      </c>
      <c r="F101" s="301">
        <v>14931</v>
      </c>
      <c r="G101" s="302">
        <v>1.1999999999999999E-3</v>
      </c>
      <c r="H101" s="310">
        <v>7.6671000000000003E-2</v>
      </c>
      <c r="I101" s="297"/>
    </row>
    <row r="102" spans="1:9" ht="12.95" customHeight="1" x14ac:dyDescent="0.2">
      <c r="A102" s="298" t="s">
        <v>269</v>
      </c>
      <c r="B102" s="299" t="s">
        <v>1222</v>
      </c>
      <c r="C102" s="295" t="s">
        <v>270</v>
      </c>
      <c r="D102" s="295" t="s">
        <v>198</v>
      </c>
      <c r="E102" s="300">
        <v>3000</v>
      </c>
      <c r="F102" s="301">
        <v>14811.59</v>
      </c>
      <c r="G102" s="302">
        <v>1.1000000000000001E-3</v>
      </c>
      <c r="H102" s="310">
        <v>7.3700000000000002E-2</v>
      </c>
      <c r="I102" s="297"/>
    </row>
    <row r="103" spans="1:9" ht="12.95" customHeight="1" x14ac:dyDescent="0.2">
      <c r="A103" s="298" t="s">
        <v>271</v>
      </c>
      <c r="B103" s="299" t="s">
        <v>1223</v>
      </c>
      <c r="C103" s="295" t="s">
        <v>272</v>
      </c>
      <c r="D103" s="295" t="s">
        <v>198</v>
      </c>
      <c r="E103" s="300">
        <v>3000</v>
      </c>
      <c r="F103" s="301">
        <v>14805.69</v>
      </c>
      <c r="G103" s="302">
        <v>1.1000000000000001E-3</v>
      </c>
      <c r="H103" s="310">
        <v>7.3699000000000001E-2</v>
      </c>
      <c r="I103" s="297"/>
    </row>
    <row r="104" spans="1:9" ht="12.95" customHeight="1" x14ac:dyDescent="0.2">
      <c r="A104" s="298" t="s">
        <v>273</v>
      </c>
      <c r="B104" s="299" t="s">
        <v>1224</v>
      </c>
      <c r="C104" s="295" t="s">
        <v>274</v>
      </c>
      <c r="D104" s="295" t="s">
        <v>252</v>
      </c>
      <c r="E104" s="300">
        <v>3000</v>
      </c>
      <c r="F104" s="301">
        <v>14705.64</v>
      </c>
      <c r="G104" s="302">
        <v>1.1000000000000001E-3</v>
      </c>
      <c r="H104" s="310">
        <v>7.3799000000000003E-2</v>
      </c>
      <c r="I104" s="297"/>
    </row>
    <row r="105" spans="1:9" ht="12.95" customHeight="1" x14ac:dyDescent="0.2">
      <c r="A105" s="298" t="s">
        <v>275</v>
      </c>
      <c r="B105" s="299" t="s">
        <v>1225</v>
      </c>
      <c r="C105" s="295" t="s">
        <v>276</v>
      </c>
      <c r="D105" s="295" t="s">
        <v>207</v>
      </c>
      <c r="E105" s="300">
        <v>3000</v>
      </c>
      <c r="F105" s="301">
        <v>14167.05</v>
      </c>
      <c r="G105" s="302">
        <v>1.1000000000000001E-3</v>
      </c>
      <c r="H105" s="310">
        <v>7.2499999999999995E-2</v>
      </c>
      <c r="I105" s="297"/>
    </row>
    <row r="106" spans="1:9" ht="12.95" customHeight="1" x14ac:dyDescent="0.2">
      <c r="A106" s="298" t="s">
        <v>277</v>
      </c>
      <c r="B106" s="299" t="s">
        <v>1226</v>
      </c>
      <c r="C106" s="295" t="s">
        <v>278</v>
      </c>
      <c r="D106" s="295" t="s">
        <v>198</v>
      </c>
      <c r="E106" s="300">
        <v>3000</v>
      </c>
      <c r="F106" s="301">
        <v>14151.12</v>
      </c>
      <c r="G106" s="302">
        <v>1.1000000000000001E-3</v>
      </c>
      <c r="H106" s="310">
        <v>7.2499999999999995E-2</v>
      </c>
      <c r="I106" s="297"/>
    </row>
    <row r="107" spans="1:9" ht="12.95" customHeight="1" x14ac:dyDescent="0.2">
      <c r="A107" s="298" t="s">
        <v>279</v>
      </c>
      <c r="B107" s="299" t="s">
        <v>1401</v>
      </c>
      <c r="C107" s="295" t="s">
        <v>280</v>
      </c>
      <c r="D107" s="295" t="s">
        <v>198</v>
      </c>
      <c r="E107" s="300">
        <v>2500</v>
      </c>
      <c r="F107" s="301">
        <v>12369.39</v>
      </c>
      <c r="G107" s="302">
        <v>1E-3</v>
      </c>
      <c r="H107" s="310">
        <v>8.0297999999999994E-2</v>
      </c>
      <c r="I107" s="297"/>
    </row>
    <row r="108" spans="1:9" ht="12.95" customHeight="1" x14ac:dyDescent="0.2">
      <c r="A108" s="298" t="s">
        <v>281</v>
      </c>
      <c r="B108" s="299" t="s">
        <v>1402</v>
      </c>
      <c r="C108" s="295" t="s">
        <v>282</v>
      </c>
      <c r="D108" s="295" t="s">
        <v>1257</v>
      </c>
      <c r="E108" s="300">
        <v>2000</v>
      </c>
      <c r="F108" s="301">
        <v>9884.48</v>
      </c>
      <c r="G108" s="302">
        <v>8.0000000000000004E-4</v>
      </c>
      <c r="H108" s="310">
        <v>7.8996999999999998E-2</v>
      </c>
      <c r="I108" s="297"/>
    </row>
    <row r="109" spans="1:9" ht="12.95" customHeight="1" x14ac:dyDescent="0.2">
      <c r="A109" s="298" t="s">
        <v>283</v>
      </c>
      <c r="B109" s="299" t="s">
        <v>1227</v>
      </c>
      <c r="C109" s="295" t="s">
        <v>284</v>
      </c>
      <c r="D109" s="295" t="s">
        <v>198</v>
      </c>
      <c r="E109" s="300">
        <v>2000</v>
      </c>
      <c r="F109" s="301">
        <v>9850.92</v>
      </c>
      <c r="G109" s="302">
        <v>8.0000000000000004E-4</v>
      </c>
      <c r="H109" s="310">
        <v>7.3649999999999993E-2</v>
      </c>
      <c r="I109" s="297"/>
    </row>
    <row r="110" spans="1:9" ht="12.95" customHeight="1" x14ac:dyDescent="0.2">
      <c r="A110" s="298" t="s">
        <v>285</v>
      </c>
      <c r="B110" s="299" t="s">
        <v>1228</v>
      </c>
      <c r="C110" s="295" t="s">
        <v>286</v>
      </c>
      <c r="D110" s="295" t="s">
        <v>198</v>
      </c>
      <c r="E110" s="300">
        <v>2000</v>
      </c>
      <c r="F110" s="301">
        <v>9742.99</v>
      </c>
      <c r="G110" s="302">
        <v>8.0000000000000004E-4</v>
      </c>
      <c r="H110" s="310">
        <v>7.3499999999999996E-2</v>
      </c>
      <c r="I110" s="297"/>
    </row>
    <row r="111" spans="1:9" ht="12.95" customHeight="1" x14ac:dyDescent="0.2">
      <c r="A111" s="298" t="s">
        <v>287</v>
      </c>
      <c r="B111" s="299" t="s">
        <v>1229</v>
      </c>
      <c r="C111" s="295" t="s">
        <v>288</v>
      </c>
      <c r="D111" s="295" t="s">
        <v>198</v>
      </c>
      <c r="E111" s="300">
        <v>2000</v>
      </c>
      <c r="F111" s="301">
        <v>9664.24</v>
      </c>
      <c r="G111" s="302">
        <v>6.9999999999999999E-4</v>
      </c>
      <c r="H111" s="310">
        <v>7.3300000000000004E-2</v>
      </c>
      <c r="I111" s="297"/>
    </row>
    <row r="112" spans="1:9" ht="12.95" customHeight="1" x14ac:dyDescent="0.2">
      <c r="A112" s="298" t="s">
        <v>289</v>
      </c>
      <c r="B112" s="299" t="s">
        <v>1403</v>
      </c>
      <c r="C112" s="295" t="s">
        <v>290</v>
      </c>
      <c r="D112" s="295" t="s">
        <v>252</v>
      </c>
      <c r="E112" s="300">
        <v>2000</v>
      </c>
      <c r="F112" s="301">
        <v>9575.84</v>
      </c>
      <c r="G112" s="302">
        <v>6.9999999999999999E-4</v>
      </c>
      <c r="H112" s="310">
        <v>7.2499999999999995E-2</v>
      </c>
      <c r="I112" s="297"/>
    </row>
    <row r="113" spans="1:9" ht="12.95" customHeight="1" x14ac:dyDescent="0.2">
      <c r="A113" s="298" t="s">
        <v>291</v>
      </c>
      <c r="B113" s="299" t="s">
        <v>1230</v>
      </c>
      <c r="C113" s="295" t="s">
        <v>292</v>
      </c>
      <c r="D113" s="295" t="s">
        <v>198</v>
      </c>
      <c r="E113" s="300">
        <v>2000</v>
      </c>
      <c r="F113" s="301">
        <v>9567.5499999999993</v>
      </c>
      <c r="G113" s="302">
        <v>6.9999999999999999E-4</v>
      </c>
      <c r="H113" s="310">
        <v>7.2999999999999995E-2</v>
      </c>
      <c r="I113" s="297"/>
    </row>
    <row r="114" spans="1:9" ht="12.95" customHeight="1" x14ac:dyDescent="0.2">
      <c r="A114" s="298" t="s">
        <v>293</v>
      </c>
      <c r="B114" s="299" t="s">
        <v>1231</v>
      </c>
      <c r="C114" s="295" t="s">
        <v>294</v>
      </c>
      <c r="D114" s="295" t="s">
        <v>198</v>
      </c>
      <c r="E114" s="300">
        <v>2000</v>
      </c>
      <c r="F114" s="301">
        <v>9441.3799999999992</v>
      </c>
      <c r="G114" s="302">
        <v>6.9999999999999999E-4</v>
      </c>
      <c r="H114" s="310">
        <v>7.2959999999999997E-2</v>
      </c>
      <c r="I114" s="297"/>
    </row>
    <row r="115" spans="1:9" ht="12.95" customHeight="1" x14ac:dyDescent="0.2">
      <c r="A115" s="298" t="s">
        <v>295</v>
      </c>
      <c r="B115" s="299" t="s">
        <v>1232</v>
      </c>
      <c r="C115" s="295" t="s">
        <v>296</v>
      </c>
      <c r="D115" s="295" t="s">
        <v>252</v>
      </c>
      <c r="E115" s="300">
        <v>1000</v>
      </c>
      <c r="F115" s="301">
        <v>4936.05</v>
      </c>
      <c r="G115" s="302">
        <v>4.0000000000000002E-4</v>
      </c>
      <c r="H115" s="310">
        <v>7.3897000000000004E-2</v>
      </c>
      <c r="I115" s="297"/>
    </row>
    <row r="116" spans="1:9" ht="12.95" customHeight="1" x14ac:dyDescent="0.2">
      <c r="A116" s="298" t="s">
        <v>297</v>
      </c>
      <c r="B116" s="299" t="s">
        <v>1404</v>
      </c>
      <c r="C116" s="295" t="s">
        <v>298</v>
      </c>
      <c r="D116" s="295" t="s">
        <v>198</v>
      </c>
      <c r="E116" s="300">
        <v>1000</v>
      </c>
      <c r="F116" s="301">
        <v>4772.1899999999996</v>
      </c>
      <c r="G116" s="302">
        <v>4.0000000000000002E-4</v>
      </c>
      <c r="H116" s="310">
        <v>7.2599999999999998E-2</v>
      </c>
      <c r="I116" s="297"/>
    </row>
    <row r="117" spans="1:9" ht="12.95" customHeight="1" x14ac:dyDescent="0.2">
      <c r="A117" s="298" t="s">
        <v>299</v>
      </c>
      <c r="B117" s="299" t="s">
        <v>1233</v>
      </c>
      <c r="C117" s="295" t="s">
        <v>300</v>
      </c>
      <c r="D117" s="295" t="s">
        <v>198</v>
      </c>
      <c r="E117" s="300">
        <v>1000</v>
      </c>
      <c r="F117" s="301">
        <v>4710.87</v>
      </c>
      <c r="G117" s="302">
        <v>4.0000000000000002E-4</v>
      </c>
      <c r="H117" s="310">
        <v>7.2499999999999995E-2</v>
      </c>
      <c r="I117" s="297"/>
    </row>
    <row r="118" spans="1:9" ht="12.95" customHeight="1" x14ac:dyDescent="0.2">
      <c r="A118" s="284"/>
      <c r="B118" s="303" t="s">
        <v>128</v>
      </c>
      <c r="C118" s="304"/>
      <c r="D118" s="304"/>
      <c r="E118" s="304"/>
      <c r="F118" s="305">
        <v>1326803.97</v>
      </c>
      <c r="G118" s="306">
        <v>0.10299999999999999</v>
      </c>
      <c r="H118" s="307"/>
      <c r="I118" s="308"/>
    </row>
    <row r="119" spans="1:9" ht="12.95" customHeight="1" x14ac:dyDescent="0.2">
      <c r="A119" s="284"/>
      <c r="B119" s="294" t="s">
        <v>301</v>
      </c>
      <c r="C119" s="295"/>
      <c r="D119" s="295"/>
      <c r="E119" s="295"/>
      <c r="F119" s="284"/>
      <c r="G119" s="296"/>
      <c r="H119" s="296"/>
      <c r="I119" s="297"/>
    </row>
    <row r="120" spans="1:9" ht="12.95" customHeight="1" x14ac:dyDescent="0.2">
      <c r="A120" s="298" t="s">
        <v>302</v>
      </c>
      <c r="B120" s="299" t="s">
        <v>1234</v>
      </c>
      <c r="C120" s="295" t="s">
        <v>303</v>
      </c>
      <c r="D120" s="295" t="s">
        <v>198</v>
      </c>
      <c r="E120" s="300">
        <v>9000</v>
      </c>
      <c r="F120" s="301">
        <v>44219.43</v>
      </c>
      <c r="G120" s="302">
        <v>3.3999999999999998E-3</v>
      </c>
      <c r="H120" s="310">
        <v>7.5800999999999993E-2</v>
      </c>
      <c r="I120" s="297"/>
    </row>
    <row r="121" spans="1:9" ht="12.95" customHeight="1" x14ac:dyDescent="0.2">
      <c r="A121" s="298" t="s">
        <v>304</v>
      </c>
      <c r="B121" s="299" t="s">
        <v>1235</v>
      </c>
      <c r="C121" s="295" t="s">
        <v>305</v>
      </c>
      <c r="D121" s="295" t="s">
        <v>198</v>
      </c>
      <c r="E121" s="300">
        <v>6000</v>
      </c>
      <c r="F121" s="301">
        <v>29515.919999999998</v>
      </c>
      <c r="G121" s="302">
        <v>2.3E-3</v>
      </c>
      <c r="H121" s="310">
        <v>7.6748999999999998E-2</v>
      </c>
      <c r="I121" s="297"/>
    </row>
    <row r="122" spans="1:9" ht="12.95" customHeight="1" x14ac:dyDescent="0.2">
      <c r="A122" s="298" t="s">
        <v>306</v>
      </c>
      <c r="B122" s="299" t="s">
        <v>1236</v>
      </c>
      <c r="C122" s="295" t="s">
        <v>307</v>
      </c>
      <c r="D122" s="295" t="s">
        <v>198</v>
      </c>
      <c r="E122" s="300">
        <v>4000</v>
      </c>
      <c r="F122" s="301">
        <v>19842.099999999999</v>
      </c>
      <c r="G122" s="302">
        <v>1.5E-3</v>
      </c>
      <c r="H122" s="310">
        <v>8.2993999999999998E-2</v>
      </c>
      <c r="I122" s="297"/>
    </row>
    <row r="123" spans="1:9" ht="12.95" customHeight="1" x14ac:dyDescent="0.2">
      <c r="A123" s="298" t="s">
        <v>308</v>
      </c>
      <c r="B123" s="299" t="s">
        <v>1237</v>
      </c>
      <c r="C123" s="295" t="s">
        <v>309</v>
      </c>
      <c r="D123" s="295" t="s">
        <v>198</v>
      </c>
      <c r="E123" s="300">
        <v>4000</v>
      </c>
      <c r="F123" s="301">
        <v>19752.96</v>
      </c>
      <c r="G123" s="302">
        <v>1.5E-3</v>
      </c>
      <c r="H123" s="310">
        <v>8.3001000000000005E-2</v>
      </c>
      <c r="I123" s="297"/>
    </row>
    <row r="124" spans="1:9" ht="12.95" customHeight="1" x14ac:dyDescent="0.2">
      <c r="A124" s="298" t="s">
        <v>310</v>
      </c>
      <c r="B124" s="299" t="s">
        <v>1238</v>
      </c>
      <c r="C124" s="295" t="s">
        <v>311</v>
      </c>
      <c r="D124" s="295" t="s">
        <v>198</v>
      </c>
      <c r="E124" s="300">
        <v>2500</v>
      </c>
      <c r="F124" s="301">
        <v>12302.2</v>
      </c>
      <c r="G124" s="302">
        <v>1E-3</v>
      </c>
      <c r="H124" s="310">
        <v>7.8247999999999998E-2</v>
      </c>
      <c r="I124" s="297"/>
    </row>
    <row r="125" spans="1:9" ht="12.95" customHeight="1" x14ac:dyDescent="0.2">
      <c r="A125" s="298" t="s">
        <v>312</v>
      </c>
      <c r="B125" s="299" t="s">
        <v>1239</v>
      </c>
      <c r="C125" s="295" t="s">
        <v>313</v>
      </c>
      <c r="D125" s="295" t="s">
        <v>198</v>
      </c>
      <c r="E125" s="300">
        <v>2000</v>
      </c>
      <c r="F125" s="301">
        <v>9918.7999999999993</v>
      </c>
      <c r="G125" s="302">
        <v>8.0000000000000004E-4</v>
      </c>
      <c r="H125" s="310">
        <v>8.3002000000000006E-2</v>
      </c>
      <c r="I125" s="297"/>
    </row>
    <row r="126" spans="1:9" ht="12.95" customHeight="1" x14ac:dyDescent="0.2">
      <c r="A126" s="298" t="s">
        <v>314</v>
      </c>
      <c r="B126" s="299" t="s">
        <v>1240</v>
      </c>
      <c r="C126" s="295" t="s">
        <v>315</v>
      </c>
      <c r="D126" s="295" t="s">
        <v>252</v>
      </c>
      <c r="E126" s="300">
        <v>2000</v>
      </c>
      <c r="F126" s="301">
        <v>9906.7999999999993</v>
      </c>
      <c r="G126" s="302">
        <v>8.0000000000000004E-4</v>
      </c>
      <c r="H126" s="310">
        <v>8.3751000000000006E-2</v>
      </c>
      <c r="I126" s="297"/>
    </row>
    <row r="127" spans="1:9" ht="12.95" customHeight="1" x14ac:dyDescent="0.2">
      <c r="A127" s="298" t="s">
        <v>316</v>
      </c>
      <c r="B127" s="299" t="s">
        <v>1241</v>
      </c>
      <c r="C127" s="295" t="s">
        <v>317</v>
      </c>
      <c r="D127" s="295" t="s">
        <v>252</v>
      </c>
      <c r="E127" s="300">
        <v>2000</v>
      </c>
      <c r="F127" s="301">
        <v>9900.0499999999993</v>
      </c>
      <c r="G127" s="302">
        <v>8.0000000000000004E-4</v>
      </c>
      <c r="H127" s="310">
        <v>8.3750000000000005E-2</v>
      </c>
      <c r="I127" s="297"/>
    </row>
    <row r="128" spans="1:9" ht="12.95" customHeight="1" x14ac:dyDescent="0.2">
      <c r="A128" s="298" t="s">
        <v>318</v>
      </c>
      <c r="B128" s="299" t="s">
        <v>1242</v>
      </c>
      <c r="C128" s="295" t="s">
        <v>319</v>
      </c>
      <c r="D128" s="295" t="s">
        <v>198</v>
      </c>
      <c r="E128" s="300">
        <v>2000</v>
      </c>
      <c r="F128" s="301">
        <v>9879.1200000000008</v>
      </c>
      <c r="G128" s="302">
        <v>8.0000000000000004E-4</v>
      </c>
      <c r="H128" s="310">
        <v>7.9752000000000003E-2</v>
      </c>
      <c r="I128" s="297"/>
    </row>
    <row r="129" spans="1:9" ht="12.95" customHeight="1" x14ac:dyDescent="0.2">
      <c r="A129" s="298" t="s">
        <v>320</v>
      </c>
      <c r="B129" s="299" t="s">
        <v>1243</v>
      </c>
      <c r="C129" s="295" t="s">
        <v>321</v>
      </c>
      <c r="D129" s="295" t="s">
        <v>198</v>
      </c>
      <c r="E129" s="300">
        <v>2000</v>
      </c>
      <c r="F129" s="301">
        <v>9868.3700000000008</v>
      </c>
      <c r="G129" s="302">
        <v>8.0000000000000004E-4</v>
      </c>
      <c r="H129" s="310">
        <v>7.4900999999999995E-2</v>
      </c>
      <c r="I129" s="297"/>
    </row>
    <row r="130" spans="1:9" ht="12.95" customHeight="1" x14ac:dyDescent="0.2">
      <c r="A130" s="298" t="s">
        <v>322</v>
      </c>
      <c r="B130" s="299" t="s">
        <v>1244</v>
      </c>
      <c r="C130" s="295" t="s">
        <v>323</v>
      </c>
      <c r="D130" s="295" t="s">
        <v>207</v>
      </c>
      <c r="E130" s="300">
        <v>1500</v>
      </c>
      <c r="F130" s="301">
        <v>7438.85</v>
      </c>
      <c r="G130" s="302">
        <v>5.9999999999999995E-4</v>
      </c>
      <c r="H130" s="310">
        <v>8.3347000000000004E-2</v>
      </c>
      <c r="I130" s="297"/>
    </row>
    <row r="131" spans="1:9" ht="12.95" customHeight="1" x14ac:dyDescent="0.2">
      <c r="A131" s="298" t="s">
        <v>324</v>
      </c>
      <c r="B131" s="299" t="s">
        <v>1245</v>
      </c>
      <c r="C131" s="295" t="s">
        <v>325</v>
      </c>
      <c r="D131" s="295" t="s">
        <v>198</v>
      </c>
      <c r="E131" s="300">
        <v>1000</v>
      </c>
      <c r="F131" s="301">
        <v>4969.3900000000003</v>
      </c>
      <c r="G131" s="302">
        <v>4.0000000000000002E-4</v>
      </c>
      <c r="H131" s="310">
        <v>8.0302999999999999E-2</v>
      </c>
      <c r="I131" s="297"/>
    </row>
    <row r="132" spans="1:9" ht="12.95" customHeight="1" x14ac:dyDescent="0.2">
      <c r="A132" s="298" t="s">
        <v>326</v>
      </c>
      <c r="B132" s="299" t="s">
        <v>1246</v>
      </c>
      <c r="C132" s="295" t="s">
        <v>327</v>
      </c>
      <c r="D132" s="295" t="s">
        <v>198</v>
      </c>
      <c r="E132" s="300">
        <v>1000</v>
      </c>
      <c r="F132" s="301">
        <v>4932.33</v>
      </c>
      <c r="G132" s="302">
        <v>4.0000000000000002E-4</v>
      </c>
      <c r="H132" s="310">
        <v>7.8247999999999998E-2</v>
      </c>
      <c r="I132" s="297"/>
    </row>
    <row r="133" spans="1:9" ht="12.95" customHeight="1" x14ac:dyDescent="0.2">
      <c r="A133" s="284"/>
      <c r="B133" s="303" t="s">
        <v>128</v>
      </c>
      <c r="C133" s="304"/>
      <c r="D133" s="304"/>
      <c r="E133" s="304"/>
      <c r="F133" s="305">
        <v>192446.32</v>
      </c>
      <c r="G133" s="306">
        <v>1.5100000000000001E-2</v>
      </c>
      <c r="H133" s="307"/>
      <c r="I133" s="308"/>
    </row>
    <row r="134" spans="1:9" ht="12.95" customHeight="1" x14ac:dyDescent="0.2">
      <c r="A134" s="284"/>
      <c r="B134" s="294" t="s">
        <v>328</v>
      </c>
      <c r="C134" s="295"/>
      <c r="D134" s="295"/>
      <c r="E134" s="295"/>
      <c r="F134" s="284"/>
      <c r="G134" s="296"/>
      <c r="H134" s="296"/>
      <c r="I134" s="297"/>
    </row>
    <row r="135" spans="1:9" ht="12.95" customHeight="1" x14ac:dyDescent="0.2">
      <c r="A135" s="298" t="s">
        <v>329</v>
      </c>
      <c r="B135" s="299" t="s">
        <v>330</v>
      </c>
      <c r="C135" s="295" t="s">
        <v>331</v>
      </c>
      <c r="D135" s="295" t="s">
        <v>332</v>
      </c>
      <c r="E135" s="300">
        <v>35000000</v>
      </c>
      <c r="F135" s="301">
        <v>33985.980000000003</v>
      </c>
      <c r="G135" s="302">
        <v>2.5999999999999999E-3</v>
      </c>
      <c r="H135" s="310">
        <v>5.5281999999999998E-2</v>
      </c>
      <c r="I135" s="297"/>
    </row>
    <row r="136" spans="1:9" ht="12.95" customHeight="1" x14ac:dyDescent="0.2">
      <c r="A136" s="298" t="s">
        <v>333</v>
      </c>
      <c r="B136" s="299" t="s">
        <v>334</v>
      </c>
      <c r="C136" s="295" t="s">
        <v>335</v>
      </c>
      <c r="D136" s="295" t="s">
        <v>332</v>
      </c>
      <c r="E136" s="300">
        <v>20500000</v>
      </c>
      <c r="F136" s="301">
        <v>19614.75</v>
      </c>
      <c r="G136" s="302">
        <v>1.5E-3</v>
      </c>
      <c r="H136" s="310">
        <v>5.7000000000000002E-2</v>
      </c>
      <c r="I136" s="297"/>
    </row>
    <row r="137" spans="1:9" ht="12.95" customHeight="1" x14ac:dyDescent="0.2">
      <c r="A137" s="298" t="s">
        <v>336</v>
      </c>
      <c r="B137" s="299" t="s">
        <v>337</v>
      </c>
      <c r="C137" s="295" t="s">
        <v>338</v>
      </c>
      <c r="D137" s="295" t="s">
        <v>332</v>
      </c>
      <c r="E137" s="300">
        <v>11000000</v>
      </c>
      <c r="F137" s="301">
        <v>10808.14</v>
      </c>
      <c r="G137" s="302">
        <v>8.0000000000000004E-4</v>
      </c>
      <c r="H137" s="310">
        <v>5.3996000000000002E-2</v>
      </c>
      <c r="I137" s="297"/>
    </row>
    <row r="138" spans="1:9" ht="12.95" customHeight="1" x14ac:dyDescent="0.2">
      <c r="A138" s="298" t="s">
        <v>339</v>
      </c>
      <c r="B138" s="299" t="s">
        <v>340</v>
      </c>
      <c r="C138" s="295" t="s">
        <v>341</v>
      </c>
      <c r="D138" s="295" t="s">
        <v>332</v>
      </c>
      <c r="E138" s="300">
        <v>10000000</v>
      </c>
      <c r="F138" s="301">
        <v>9978.4699999999993</v>
      </c>
      <c r="G138" s="302">
        <v>8.0000000000000004E-4</v>
      </c>
      <c r="H138" s="310">
        <v>5.2499999999999998E-2</v>
      </c>
      <c r="I138" s="297"/>
    </row>
    <row r="139" spans="1:9" ht="12.95" customHeight="1" x14ac:dyDescent="0.2">
      <c r="A139" s="284"/>
      <c r="B139" s="303" t="s">
        <v>128</v>
      </c>
      <c r="C139" s="304"/>
      <c r="D139" s="304"/>
      <c r="E139" s="304"/>
      <c r="F139" s="305">
        <v>74387.34</v>
      </c>
      <c r="G139" s="306">
        <v>5.7000000000000002E-3</v>
      </c>
      <c r="H139" s="307"/>
      <c r="I139" s="308"/>
    </row>
    <row r="140" spans="1:9" ht="12.95" customHeight="1" x14ac:dyDescent="0.2">
      <c r="A140" s="284"/>
      <c r="B140" s="303" t="s">
        <v>165</v>
      </c>
      <c r="C140" s="309"/>
      <c r="D140" s="304"/>
      <c r="E140" s="309"/>
      <c r="F140" s="305">
        <v>1593637.63</v>
      </c>
      <c r="G140" s="306">
        <v>0.12379999999999999</v>
      </c>
      <c r="H140" s="307"/>
      <c r="I140" s="308"/>
    </row>
    <row r="141" spans="1:9" ht="12.95" customHeight="1" x14ac:dyDescent="0.2">
      <c r="A141" s="284"/>
      <c r="B141" s="294" t="s">
        <v>342</v>
      </c>
      <c r="C141" s="295"/>
      <c r="D141" s="295"/>
      <c r="E141" s="295"/>
      <c r="F141" s="295"/>
      <c r="G141" s="295"/>
      <c r="H141" s="296"/>
      <c r="I141" s="297"/>
    </row>
    <row r="142" spans="1:9" ht="12.95" customHeight="1" x14ac:dyDescent="0.2">
      <c r="A142" s="284"/>
      <c r="B142" s="294" t="s">
        <v>343</v>
      </c>
      <c r="C142" s="295"/>
      <c r="D142" s="295"/>
      <c r="E142" s="295"/>
      <c r="F142" s="284"/>
      <c r="G142" s="296"/>
      <c r="H142" s="296"/>
      <c r="I142" s="297"/>
    </row>
    <row r="143" spans="1:9" ht="12.95" customHeight="1" x14ac:dyDescent="0.2">
      <c r="A143" s="298" t="s">
        <v>344</v>
      </c>
      <c r="B143" s="299" t="s">
        <v>345</v>
      </c>
      <c r="C143" s="295" t="s">
        <v>346</v>
      </c>
      <c r="D143" s="295" t="s">
        <v>183</v>
      </c>
      <c r="E143" s="300">
        <v>8675354.7149999999</v>
      </c>
      <c r="F143" s="301">
        <v>132165.45000000001</v>
      </c>
      <c r="G143" s="302">
        <v>1.0200000000000001E-2</v>
      </c>
      <c r="H143" s="310"/>
      <c r="I143" s="297"/>
    </row>
    <row r="144" spans="1:9" ht="12.95" customHeight="1" x14ac:dyDescent="0.2">
      <c r="A144" s="284"/>
      <c r="B144" s="303" t="s">
        <v>128</v>
      </c>
      <c r="C144" s="304"/>
      <c r="D144" s="304"/>
      <c r="E144" s="304"/>
      <c r="F144" s="305">
        <v>132165.45000000001</v>
      </c>
      <c r="G144" s="306">
        <v>1.0200000000000001E-2</v>
      </c>
      <c r="H144" s="307"/>
      <c r="I144" s="308"/>
    </row>
    <row r="145" spans="1:9" ht="12.95" customHeight="1" x14ac:dyDescent="0.2">
      <c r="A145" s="284"/>
      <c r="B145" s="294" t="s">
        <v>347</v>
      </c>
      <c r="C145" s="295"/>
      <c r="D145" s="295"/>
      <c r="E145" s="295"/>
      <c r="F145" s="295"/>
      <c r="G145" s="295"/>
      <c r="H145" s="296"/>
      <c r="I145" s="297"/>
    </row>
    <row r="146" spans="1:9" ht="12.95" customHeight="1" x14ac:dyDescent="0.2">
      <c r="A146" s="298" t="s">
        <v>348</v>
      </c>
      <c r="B146" s="299" t="s">
        <v>348</v>
      </c>
      <c r="C146" s="295"/>
      <c r="D146" s="295" t="s">
        <v>183</v>
      </c>
      <c r="E146" s="300"/>
      <c r="F146" s="301">
        <v>586186.54</v>
      </c>
      <c r="G146" s="302">
        <v>4.5499999999999999E-2</v>
      </c>
      <c r="H146" s="310">
        <v>5.8194273554431873E-2</v>
      </c>
      <c r="I146" s="297"/>
    </row>
    <row r="147" spans="1:9" ht="12.95" customHeight="1" x14ac:dyDescent="0.2">
      <c r="A147" s="298" t="s">
        <v>349</v>
      </c>
      <c r="B147" s="299" t="s">
        <v>349</v>
      </c>
      <c r="C147" s="295"/>
      <c r="D147" s="295" t="s">
        <v>183</v>
      </c>
      <c r="E147" s="300"/>
      <c r="F147" s="301">
        <v>4090.56</v>
      </c>
      <c r="G147" s="302">
        <v>2.9999999999999997E-4</v>
      </c>
      <c r="H147" s="310">
        <v>6.6500000000000004E-2</v>
      </c>
      <c r="I147" s="297"/>
    </row>
    <row r="148" spans="1:9" ht="12.95" customHeight="1" x14ac:dyDescent="0.2">
      <c r="A148" s="284"/>
      <c r="B148" s="303" t="s">
        <v>128</v>
      </c>
      <c r="C148" s="304"/>
      <c r="D148" s="304"/>
      <c r="E148" s="304"/>
      <c r="F148" s="305">
        <v>590277.1</v>
      </c>
      <c r="G148" s="306">
        <v>4.58E-2</v>
      </c>
      <c r="H148" s="307"/>
      <c r="I148" s="308"/>
    </row>
    <row r="149" spans="1:9" ht="12.95" customHeight="1" x14ac:dyDescent="0.2">
      <c r="A149" s="284"/>
      <c r="B149" s="303" t="s">
        <v>165</v>
      </c>
      <c r="C149" s="309"/>
      <c r="D149" s="304"/>
      <c r="E149" s="309"/>
      <c r="F149" s="305">
        <v>590277.1</v>
      </c>
      <c r="G149" s="306">
        <v>4.58E-2</v>
      </c>
      <c r="H149" s="307"/>
      <c r="I149" s="308"/>
    </row>
    <row r="150" spans="1:9" ht="12.95" customHeight="1" x14ac:dyDescent="0.2">
      <c r="A150" s="284"/>
      <c r="B150" s="303" t="s">
        <v>350</v>
      </c>
      <c r="C150" s="295"/>
      <c r="D150" s="304"/>
      <c r="E150" s="295"/>
      <c r="F150" s="311">
        <f>(126403.25+E162)-16.72</f>
        <v>73709.08</v>
      </c>
      <c r="G150" s="306">
        <f>0.96%+F162</f>
        <v>5.5999999999999991E-3</v>
      </c>
      <c r="H150" s="307"/>
      <c r="I150" s="308"/>
    </row>
    <row r="151" spans="1:9" ht="12.95" customHeight="1" x14ac:dyDescent="0.2">
      <c r="A151" s="284"/>
      <c r="B151" s="312" t="s">
        <v>351</v>
      </c>
      <c r="C151" s="313"/>
      <c r="D151" s="313"/>
      <c r="E151" s="313"/>
      <c r="F151" s="314">
        <v>12896648.32</v>
      </c>
      <c r="G151" s="315">
        <v>1</v>
      </c>
      <c r="H151" s="316"/>
      <c r="I151" s="317"/>
    </row>
    <row r="153" spans="1:9" ht="12.95" customHeight="1" x14ac:dyDescent="0.2">
      <c r="A153" s="284"/>
      <c r="B153" s="289" t="s">
        <v>179</v>
      </c>
      <c r="C153" s="288"/>
      <c r="D153" s="288"/>
      <c r="E153" s="288"/>
      <c r="F153" s="288"/>
      <c r="G153" s="318"/>
      <c r="H153" s="284"/>
    </row>
    <row r="154" spans="1:9" ht="12.95" customHeight="1" x14ac:dyDescent="0.2">
      <c r="A154" s="284"/>
      <c r="B154" s="319" t="s">
        <v>2</v>
      </c>
      <c r="C154" s="319" t="s">
        <v>1247</v>
      </c>
      <c r="D154" s="319" t="s">
        <v>5</v>
      </c>
      <c r="E154" s="319" t="s">
        <v>1248</v>
      </c>
      <c r="F154" s="319" t="s">
        <v>1249</v>
      </c>
      <c r="G154" s="320" t="s">
        <v>1250</v>
      </c>
      <c r="H154" s="284"/>
    </row>
    <row r="155" spans="1:9" ht="12.95" customHeight="1" x14ac:dyDescent="0.2">
      <c r="A155" s="284"/>
      <c r="B155" s="319" t="s">
        <v>180</v>
      </c>
      <c r="C155" s="319"/>
      <c r="D155" s="319"/>
      <c r="E155" s="321"/>
      <c r="F155" s="320"/>
      <c r="G155" s="320"/>
      <c r="H155" s="284"/>
    </row>
    <row r="156" spans="1:9" ht="12.95" customHeight="1" x14ac:dyDescent="0.2">
      <c r="A156" s="298" t="s">
        <v>181</v>
      </c>
      <c r="B156" s="322" t="s">
        <v>193</v>
      </c>
      <c r="C156" s="295" t="s">
        <v>1251</v>
      </c>
      <c r="D156" s="301">
        <v>-2017500</v>
      </c>
      <c r="E156" s="301">
        <v>-27222.13</v>
      </c>
      <c r="F156" s="302">
        <v>-2.0999999999999999E-3</v>
      </c>
      <c r="G156" s="296"/>
      <c r="H156" s="284"/>
    </row>
    <row r="157" spans="1:9" ht="12.95" customHeight="1" x14ac:dyDescent="0.2">
      <c r="A157" s="298" t="s">
        <v>184</v>
      </c>
      <c r="B157" s="299" t="s">
        <v>191</v>
      </c>
      <c r="C157" s="295" t="s">
        <v>1251</v>
      </c>
      <c r="D157" s="301">
        <v>-273350</v>
      </c>
      <c r="E157" s="301">
        <v>-10832.59</v>
      </c>
      <c r="F157" s="302">
        <v>-8.0000000000000004E-4</v>
      </c>
      <c r="G157" s="296"/>
      <c r="H157" s="284"/>
    </row>
    <row r="158" spans="1:9" ht="12.95" customHeight="1" x14ac:dyDescent="0.2">
      <c r="A158" s="298" t="s">
        <v>186</v>
      </c>
      <c r="B158" s="299" t="s">
        <v>189</v>
      </c>
      <c r="C158" s="295" t="s">
        <v>1251</v>
      </c>
      <c r="D158" s="301">
        <v>-540050</v>
      </c>
      <c r="E158" s="301">
        <v>-9534.58</v>
      </c>
      <c r="F158" s="302">
        <v>-6.9999999999999999E-4</v>
      </c>
      <c r="G158" s="296"/>
      <c r="H158" s="284"/>
    </row>
    <row r="159" spans="1:9" ht="12.95" customHeight="1" x14ac:dyDescent="0.2">
      <c r="A159" s="298" t="s">
        <v>188</v>
      </c>
      <c r="B159" s="299" t="s">
        <v>187</v>
      </c>
      <c r="C159" s="295" t="s">
        <v>1251</v>
      </c>
      <c r="D159" s="301">
        <v>-380800</v>
      </c>
      <c r="E159" s="301">
        <v>-3381.12</v>
      </c>
      <c r="F159" s="302">
        <v>-2.9999999999999997E-4</v>
      </c>
      <c r="G159" s="296"/>
      <c r="H159" s="284"/>
    </row>
    <row r="160" spans="1:9" ht="12.95" customHeight="1" x14ac:dyDescent="0.2">
      <c r="A160" s="298" t="s">
        <v>190</v>
      </c>
      <c r="B160" s="299" t="s">
        <v>185</v>
      </c>
      <c r="C160" s="295" t="s">
        <v>1251</v>
      </c>
      <c r="D160" s="301">
        <v>-199500</v>
      </c>
      <c r="E160" s="301">
        <v>-1506.23</v>
      </c>
      <c r="F160" s="302">
        <v>-1E-4</v>
      </c>
      <c r="G160" s="296"/>
      <c r="H160" s="284"/>
    </row>
    <row r="161" spans="1:8" ht="12.95" customHeight="1" x14ac:dyDescent="0.2">
      <c r="A161" s="298" t="s">
        <v>192</v>
      </c>
      <c r="B161" s="299" t="s">
        <v>182</v>
      </c>
      <c r="C161" s="295" t="s">
        <v>1251</v>
      </c>
      <c r="D161" s="301">
        <v>-49875</v>
      </c>
      <c r="E161" s="301">
        <v>-200.8</v>
      </c>
      <c r="F161" s="302" t="s">
        <v>1256</v>
      </c>
      <c r="G161" s="296"/>
      <c r="H161" s="284"/>
    </row>
    <row r="162" spans="1:8" ht="12.95" customHeight="1" x14ac:dyDescent="0.2">
      <c r="A162" s="284"/>
      <c r="B162" s="303" t="s">
        <v>128</v>
      </c>
      <c r="C162" s="304"/>
      <c r="D162" s="304"/>
      <c r="E162" s="305">
        <v>-52677.45</v>
      </c>
      <c r="F162" s="306">
        <v>-4.0000000000000001E-3</v>
      </c>
      <c r="G162" s="307"/>
      <c r="H162" s="284"/>
    </row>
    <row r="163" spans="1:8" ht="12.95" customHeight="1" x14ac:dyDescent="0.2">
      <c r="A163" s="284"/>
      <c r="B163" s="303" t="s">
        <v>165</v>
      </c>
      <c r="C163" s="309"/>
      <c r="D163" s="309"/>
      <c r="E163" s="305">
        <v>-52677.45</v>
      </c>
      <c r="F163" s="306">
        <v>-4.0000000000000001E-3</v>
      </c>
      <c r="G163" s="307"/>
      <c r="H163" s="284"/>
    </row>
    <row r="165" spans="1:8" x14ac:dyDescent="0.2">
      <c r="B165" s="286" t="s">
        <v>1252</v>
      </c>
    </row>
    <row r="166" spans="1:8" x14ac:dyDescent="0.2">
      <c r="B166" s="286" t="s">
        <v>1253</v>
      </c>
    </row>
    <row r="167" spans="1:8" x14ac:dyDescent="0.2">
      <c r="B167" s="286" t="s">
        <v>1254</v>
      </c>
    </row>
    <row r="168" spans="1:8" x14ac:dyDescent="0.2">
      <c r="B168" s="286" t="s">
        <v>1255</v>
      </c>
    </row>
    <row r="170" spans="1:8" x14ac:dyDescent="0.2">
      <c r="B170" s="323" t="s">
        <v>1417</v>
      </c>
      <c r="C170" s="324"/>
      <c r="D170" s="324"/>
      <c r="E170" s="325"/>
      <c r="F170" s="326"/>
      <c r="G170" s="326"/>
      <c r="H170" s="327"/>
    </row>
    <row r="171" spans="1:8" x14ac:dyDescent="0.2">
      <c r="B171" s="328" t="s">
        <v>1418</v>
      </c>
      <c r="C171" s="329"/>
      <c r="D171" s="329"/>
      <c r="E171" s="329"/>
      <c r="F171" s="329"/>
      <c r="G171" s="329"/>
      <c r="H171" s="330"/>
    </row>
    <row r="172" spans="1:8" x14ac:dyDescent="0.2">
      <c r="B172" s="328" t="s">
        <v>1419</v>
      </c>
      <c r="C172" s="331"/>
      <c r="D172" s="331"/>
      <c r="E172" s="331"/>
      <c r="F172" s="331"/>
      <c r="G172" s="332"/>
      <c r="H172" s="333"/>
    </row>
    <row r="173" spans="1:8" x14ac:dyDescent="0.2">
      <c r="B173" s="328"/>
      <c r="C173" s="331"/>
      <c r="D173" s="331"/>
      <c r="E173" s="334"/>
      <c r="F173" s="332"/>
      <c r="G173" s="332"/>
      <c r="H173" s="333"/>
    </row>
    <row r="174" spans="1:8" x14ac:dyDescent="0.2">
      <c r="B174" s="335" t="s">
        <v>1420</v>
      </c>
      <c r="C174" s="331"/>
      <c r="D174" s="331"/>
      <c r="E174" s="331"/>
      <c r="F174" s="331"/>
      <c r="G174" s="332"/>
      <c r="H174" s="333"/>
    </row>
    <row r="175" spans="1:8" x14ac:dyDescent="0.2">
      <c r="B175" s="328" t="s">
        <v>1421</v>
      </c>
      <c r="C175" s="331"/>
      <c r="D175" s="336"/>
      <c r="E175" s="336"/>
      <c r="F175" s="331"/>
      <c r="G175" s="332"/>
      <c r="H175" s="333"/>
    </row>
    <row r="176" spans="1:8" ht="24" x14ac:dyDescent="0.2">
      <c r="B176" s="460" t="s">
        <v>1422</v>
      </c>
      <c r="C176" s="460" t="s">
        <v>1423</v>
      </c>
      <c r="D176" s="338" t="s">
        <v>1424</v>
      </c>
      <c r="E176" s="338" t="s">
        <v>1424</v>
      </c>
      <c r="F176" s="338" t="s">
        <v>1425</v>
      </c>
      <c r="G176" s="332"/>
      <c r="H176" s="333"/>
    </row>
    <row r="177" spans="2:8" x14ac:dyDescent="0.2">
      <c r="B177" s="460"/>
      <c r="C177" s="460"/>
      <c r="D177" s="338" t="s">
        <v>1426</v>
      </c>
      <c r="E177" s="338" t="s">
        <v>1427</v>
      </c>
      <c r="F177" s="338" t="s">
        <v>1426</v>
      </c>
      <c r="G177" s="332"/>
      <c r="H177" s="333"/>
    </row>
    <row r="178" spans="2:8" x14ac:dyDescent="0.2">
      <c r="B178" s="337" t="s">
        <v>164</v>
      </c>
      <c r="C178" s="337" t="s">
        <v>164</v>
      </c>
      <c r="D178" s="337" t="s">
        <v>164</v>
      </c>
      <c r="E178" s="337" t="s">
        <v>164</v>
      </c>
      <c r="F178" s="337" t="s">
        <v>164</v>
      </c>
      <c r="G178" s="332"/>
      <c r="H178" s="333"/>
    </row>
    <row r="179" spans="2:8" x14ac:dyDescent="0.2">
      <c r="B179" s="339"/>
      <c r="C179" s="331"/>
      <c r="D179" s="331"/>
      <c r="E179" s="331"/>
      <c r="F179" s="331"/>
      <c r="G179" s="332"/>
      <c r="H179" s="333"/>
    </row>
    <row r="180" spans="2:8" x14ac:dyDescent="0.2">
      <c r="B180" s="339" t="s">
        <v>1428</v>
      </c>
      <c r="C180" s="331"/>
      <c r="D180" s="331"/>
      <c r="E180" s="331"/>
      <c r="F180" s="331"/>
      <c r="G180" s="332"/>
      <c r="H180" s="333"/>
    </row>
    <row r="181" spans="2:8" x14ac:dyDescent="0.2">
      <c r="B181" s="328"/>
      <c r="C181" s="331"/>
      <c r="D181" s="331"/>
      <c r="E181" s="331"/>
      <c r="F181" s="331"/>
      <c r="G181" s="332"/>
      <c r="H181" s="333"/>
    </row>
    <row r="182" spans="2:8" x14ac:dyDescent="0.2">
      <c r="B182" s="339" t="s">
        <v>1429</v>
      </c>
      <c r="C182" s="331"/>
      <c r="D182" s="340"/>
      <c r="E182" s="331"/>
      <c r="F182" s="331"/>
      <c r="G182" s="332"/>
      <c r="H182" s="333"/>
    </row>
    <row r="183" spans="2:8" x14ac:dyDescent="0.2">
      <c r="B183" s="341" t="s">
        <v>1430</v>
      </c>
      <c r="C183" s="342">
        <v>46080</v>
      </c>
      <c r="D183" s="342">
        <v>46112</v>
      </c>
      <c r="E183" s="331"/>
      <c r="F183" s="343"/>
      <c r="G183" s="332"/>
      <c r="H183" s="333"/>
    </row>
    <row r="184" spans="2:8" x14ac:dyDescent="0.2">
      <c r="B184" s="341" t="s">
        <v>1431</v>
      </c>
      <c r="C184" s="344">
        <v>91.954400000000007</v>
      </c>
      <c r="D184" s="344">
        <v>85.677899999999994</v>
      </c>
      <c r="E184" s="331"/>
      <c r="H184" s="333"/>
    </row>
    <row r="185" spans="2:8" x14ac:dyDescent="0.2">
      <c r="B185" s="341" t="s">
        <v>1432</v>
      </c>
      <c r="C185" s="344">
        <v>84.045199999999994</v>
      </c>
      <c r="D185" s="344">
        <v>78.264300000000006</v>
      </c>
      <c r="E185" s="331"/>
      <c r="H185" s="333"/>
    </row>
    <row r="186" spans="2:8" x14ac:dyDescent="0.2">
      <c r="B186" s="341" t="s">
        <v>1433</v>
      </c>
      <c r="C186" s="344">
        <v>91.954400000000007</v>
      </c>
      <c r="D186" s="344">
        <v>85.677899999999994</v>
      </c>
      <c r="E186" s="331"/>
      <c r="H186" s="333"/>
    </row>
    <row r="187" spans="2:8" x14ac:dyDescent="0.2">
      <c r="B187" s="341" t="s">
        <v>1434</v>
      </c>
      <c r="C187" s="344">
        <v>84.045100000000005</v>
      </c>
      <c r="D187" s="344">
        <v>78.264300000000006</v>
      </c>
      <c r="E187" s="331"/>
      <c r="H187" s="333"/>
    </row>
    <row r="188" spans="2:8" x14ac:dyDescent="0.2">
      <c r="B188" s="328"/>
      <c r="C188" s="331"/>
      <c r="D188" s="331"/>
      <c r="E188" s="331"/>
      <c r="F188" s="343"/>
      <c r="G188" s="332"/>
      <c r="H188" s="333"/>
    </row>
    <row r="189" spans="2:8" x14ac:dyDescent="0.2">
      <c r="B189" s="339" t="s">
        <v>1701</v>
      </c>
      <c r="C189" s="345"/>
      <c r="D189" s="345"/>
      <c r="E189" s="345"/>
      <c r="F189" s="343"/>
      <c r="G189" s="332"/>
      <c r="H189" s="333"/>
    </row>
    <row r="190" spans="2:8" x14ac:dyDescent="0.2">
      <c r="B190" s="339"/>
      <c r="C190" s="345"/>
      <c r="D190" s="345"/>
      <c r="E190" s="345"/>
      <c r="F190" s="331"/>
      <c r="G190" s="332"/>
      <c r="H190" s="333"/>
    </row>
    <row r="191" spans="2:8" x14ac:dyDescent="0.2">
      <c r="B191" s="339" t="s">
        <v>1702</v>
      </c>
      <c r="C191" s="345"/>
      <c r="D191" s="345"/>
      <c r="E191" s="345"/>
      <c r="F191" s="331"/>
      <c r="G191" s="332"/>
      <c r="H191" s="333"/>
    </row>
    <row r="192" spans="2:8" x14ac:dyDescent="0.2">
      <c r="B192" s="339"/>
      <c r="C192" s="345"/>
      <c r="D192" s="345"/>
      <c r="E192" s="345"/>
      <c r="F192" s="331"/>
      <c r="G192" s="334"/>
      <c r="H192" s="346"/>
    </row>
    <row r="193" spans="2:8" x14ac:dyDescent="0.2">
      <c r="B193" s="339" t="s">
        <v>1703</v>
      </c>
      <c r="C193" s="345"/>
      <c r="D193" s="345"/>
      <c r="E193" s="347"/>
      <c r="F193" s="348"/>
      <c r="G193" s="332"/>
      <c r="H193" s="333"/>
    </row>
    <row r="194" spans="2:8" x14ac:dyDescent="0.2">
      <c r="B194" s="349" t="s">
        <v>1435</v>
      </c>
      <c r="C194" s="345"/>
      <c r="D194" s="345"/>
      <c r="E194" s="350"/>
      <c r="F194" s="331"/>
      <c r="G194" s="332"/>
      <c r="H194" s="333"/>
    </row>
    <row r="195" spans="2:8" x14ac:dyDescent="0.2">
      <c r="B195" s="351"/>
      <c r="C195" s="345"/>
      <c r="D195" s="345"/>
      <c r="E195" s="345"/>
      <c r="F195" s="331"/>
      <c r="G195" s="332"/>
      <c r="H195" s="333"/>
    </row>
    <row r="196" spans="2:8" x14ac:dyDescent="0.2">
      <c r="B196" s="352" t="s">
        <v>1704</v>
      </c>
      <c r="C196" s="345"/>
      <c r="D196" s="350"/>
      <c r="E196" s="350"/>
      <c r="F196" s="353"/>
      <c r="G196" s="332"/>
      <c r="H196" s="333"/>
    </row>
    <row r="197" spans="2:8" x14ac:dyDescent="0.2">
      <c r="B197" s="352"/>
      <c r="C197" s="354"/>
      <c r="D197" s="354"/>
      <c r="E197" s="345"/>
      <c r="F197" s="355"/>
      <c r="G197" s="332"/>
      <c r="H197" s="333"/>
    </row>
    <row r="198" spans="2:8" x14ac:dyDescent="0.2">
      <c r="B198" s="352" t="s">
        <v>1712</v>
      </c>
      <c r="C198" s="354"/>
      <c r="D198" s="356"/>
      <c r="E198" s="357"/>
      <c r="F198" s="357"/>
      <c r="G198" s="332"/>
      <c r="H198" s="333"/>
    </row>
    <row r="199" spans="2:8" x14ac:dyDescent="0.2">
      <c r="B199" s="351"/>
      <c r="C199" s="354"/>
      <c r="D199" s="354"/>
      <c r="E199" s="345"/>
      <c r="F199" s="355"/>
      <c r="G199" s="332"/>
      <c r="H199" s="333"/>
    </row>
    <row r="200" spans="2:8" x14ac:dyDescent="0.2">
      <c r="B200" s="339" t="s">
        <v>1705</v>
      </c>
      <c r="C200" s="345"/>
      <c r="D200" s="350"/>
      <c r="E200" s="332"/>
      <c r="F200" s="331"/>
      <c r="G200" s="332"/>
      <c r="H200" s="333"/>
    </row>
    <row r="201" spans="2:8" x14ac:dyDescent="0.2">
      <c r="B201" s="339"/>
      <c r="C201" s="350"/>
      <c r="D201" s="345"/>
      <c r="E201" s="358"/>
      <c r="F201" s="332"/>
      <c r="G201" s="332"/>
      <c r="H201" s="333"/>
    </row>
    <row r="202" spans="2:8" x14ac:dyDescent="0.2">
      <c r="B202" s="359" t="s">
        <v>1637</v>
      </c>
      <c r="C202" s="345"/>
      <c r="D202" s="345"/>
      <c r="E202" s="345"/>
      <c r="F202" s="331"/>
      <c r="G202" s="332"/>
      <c r="H202" s="333"/>
    </row>
    <row r="203" spans="2:8" x14ac:dyDescent="0.2">
      <c r="B203" s="360"/>
      <c r="C203" s="345"/>
      <c r="D203" s="345"/>
      <c r="E203" s="332"/>
      <c r="F203" s="332"/>
      <c r="G203" s="332"/>
      <c r="H203" s="333"/>
    </row>
    <row r="204" spans="2:8" x14ac:dyDescent="0.2">
      <c r="B204" s="360" t="s">
        <v>1638</v>
      </c>
      <c r="C204" s="345"/>
      <c r="D204" s="345"/>
      <c r="E204" s="332"/>
      <c r="F204" s="332"/>
      <c r="G204" s="332"/>
      <c r="H204" s="333"/>
    </row>
    <row r="205" spans="2:8" x14ac:dyDescent="0.2">
      <c r="B205" s="339"/>
      <c r="C205" s="345"/>
      <c r="D205" s="345"/>
      <c r="E205" s="345"/>
      <c r="F205" s="332"/>
      <c r="G205" s="332"/>
      <c r="H205" s="333"/>
    </row>
    <row r="206" spans="2:8" x14ac:dyDescent="0.2">
      <c r="B206" s="339" t="s">
        <v>1639</v>
      </c>
      <c r="C206" s="345"/>
      <c r="D206" s="345"/>
      <c r="E206" s="345"/>
      <c r="F206" s="331"/>
      <c r="G206" s="332"/>
      <c r="H206" s="333"/>
    </row>
    <row r="207" spans="2:8" x14ac:dyDescent="0.2">
      <c r="B207" s="349"/>
      <c r="C207" s="361"/>
      <c r="D207" s="361"/>
      <c r="E207" s="361"/>
      <c r="F207" s="362"/>
      <c r="G207" s="332"/>
      <c r="H207" s="333"/>
    </row>
    <row r="208" spans="2:8" x14ac:dyDescent="0.2">
      <c r="B208" s="349" t="s">
        <v>1436</v>
      </c>
      <c r="C208" s="361"/>
      <c r="D208" s="361"/>
      <c r="E208" s="361"/>
      <c r="F208" s="362"/>
      <c r="G208" s="332"/>
      <c r="H208" s="333"/>
    </row>
    <row r="209" spans="2:8" x14ac:dyDescent="0.2">
      <c r="B209" s="349"/>
      <c r="C209" s="361"/>
      <c r="D209" s="361"/>
      <c r="E209" s="361"/>
      <c r="F209" s="362"/>
      <c r="G209" s="332"/>
      <c r="H209" s="333"/>
    </row>
    <row r="210" spans="2:8" x14ac:dyDescent="0.2">
      <c r="B210" s="339" t="s">
        <v>1723</v>
      </c>
      <c r="C210" s="361"/>
      <c r="D210" s="361"/>
      <c r="E210" s="361"/>
      <c r="F210" s="331"/>
      <c r="G210" s="332"/>
      <c r="H210" s="333"/>
    </row>
    <row r="211" spans="2:8" x14ac:dyDescent="0.2">
      <c r="B211" s="349"/>
      <c r="C211" s="361"/>
      <c r="D211" s="361"/>
      <c r="E211" s="361"/>
      <c r="F211" s="362"/>
      <c r="G211" s="362"/>
      <c r="H211" s="333"/>
    </row>
    <row r="212" spans="2:8" ht="36" x14ac:dyDescent="0.2">
      <c r="B212" s="363" t="s">
        <v>1437</v>
      </c>
      <c r="C212" s="363" t="s">
        <v>1438</v>
      </c>
      <c r="D212" s="363" t="s">
        <v>1439</v>
      </c>
      <c r="E212" s="363" t="s">
        <v>1440</v>
      </c>
      <c r="F212" s="363" t="s">
        <v>1441</v>
      </c>
      <c r="G212" s="363" t="s">
        <v>1442</v>
      </c>
      <c r="H212" s="333"/>
    </row>
    <row r="213" spans="2:8" ht="15" customHeight="1" x14ac:dyDescent="0.2">
      <c r="B213" s="364" t="s">
        <v>149</v>
      </c>
      <c r="C213" s="365" t="s">
        <v>1444</v>
      </c>
      <c r="D213" s="366" t="s">
        <v>1443</v>
      </c>
      <c r="E213" s="367">
        <v>436.02420010025065</v>
      </c>
      <c r="F213" s="367">
        <v>402.6</v>
      </c>
      <c r="G213" s="461">
        <v>36745.610999999997</v>
      </c>
      <c r="H213" s="333"/>
    </row>
    <row r="214" spans="2:8" x14ac:dyDescent="0.2">
      <c r="B214" s="364" t="s">
        <v>142</v>
      </c>
      <c r="C214" s="366" t="s">
        <v>1444</v>
      </c>
      <c r="D214" s="366" t="s">
        <v>1443</v>
      </c>
      <c r="E214" s="368">
        <v>875.74189999999999</v>
      </c>
      <c r="F214" s="368">
        <v>887.9</v>
      </c>
      <c r="G214" s="462"/>
      <c r="H214" s="369"/>
    </row>
    <row r="215" spans="2:8" x14ac:dyDescent="0.2">
      <c r="B215" s="364" t="s">
        <v>146</v>
      </c>
      <c r="C215" s="366" t="s">
        <v>1444</v>
      </c>
      <c r="D215" s="366" t="s">
        <v>1443</v>
      </c>
      <c r="E215" s="368">
        <v>841.75350000000003</v>
      </c>
      <c r="F215" s="368">
        <v>755</v>
      </c>
      <c r="G215" s="462"/>
      <c r="H215" s="369"/>
    </row>
    <row r="216" spans="2:8" x14ac:dyDescent="0.2">
      <c r="B216" s="364" t="s">
        <v>131</v>
      </c>
      <c r="C216" s="366" t="s">
        <v>1444</v>
      </c>
      <c r="D216" s="366" t="s">
        <v>1443</v>
      </c>
      <c r="E216" s="368">
        <v>1359.7881</v>
      </c>
      <c r="F216" s="368">
        <v>1349.3</v>
      </c>
      <c r="G216" s="462"/>
      <c r="H216" s="369"/>
    </row>
    <row r="217" spans="2:8" x14ac:dyDescent="0.2">
      <c r="B217" s="364" t="s">
        <v>139</v>
      </c>
      <c r="C217" s="366" t="s">
        <v>1444</v>
      </c>
      <c r="D217" s="366" t="s">
        <v>1443</v>
      </c>
      <c r="E217" s="368">
        <v>1806.6217999999999</v>
      </c>
      <c r="F217" s="368">
        <v>1765.5</v>
      </c>
      <c r="G217" s="462"/>
      <c r="H217" s="369"/>
    </row>
    <row r="218" spans="2:8" x14ac:dyDescent="0.2">
      <c r="B218" s="364" t="s">
        <v>135</v>
      </c>
      <c r="C218" s="366" t="s">
        <v>1444</v>
      </c>
      <c r="D218" s="366" t="s">
        <v>1443</v>
      </c>
      <c r="E218" s="368">
        <v>4019.3377000182913</v>
      </c>
      <c r="F218" s="368">
        <v>3962.9</v>
      </c>
      <c r="G218" s="463"/>
      <c r="H218" s="369"/>
    </row>
    <row r="219" spans="2:8" x14ac:dyDescent="0.2">
      <c r="B219" s="328"/>
      <c r="C219" s="370"/>
      <c r="D219" s="370"/>
      <c r="E219" s="371"/>
      <c r="F219" s="371"/>
      <c r="G219" s="372"/>
      <c r="H219" s="369"/>
    </row>
    <row r="220" spans="2:8" x14ac:dyDescent="0.2">
      <c r="B220" s="464" t="s">
        <v>1722</v>
      </c>
      <c r="C220" s="465"/>
      <c r="D220" s="465"/>
      <c r="E220" s="465"/>
      <c r="F220" s="465"/>
      <c r="G220" s="465"/>
      <c r="H220" s="333"/>
    </row>
    <row r="221" spans="2:8" x14ac:dyDescent="0.2">
      <c r="B221" s="466"/>
      <c r="C221" s="467"/>
      <c r="D221" s="467"/>
      <c r="E221" s="467"/>
      <c r="F221" s="467"/>
      <c r="G221" s="467"/>
      <c r="H221" s="333"/>
    </row>
    <row r="222" spans="2:8" x14ac:dyDescent="0.2">
      <c r="B222" s="335" t="s">
        <v>1726</v>
      </c>
      <c r="C222" s="373"/>
      <c r="D222" s="373"/>
      <c r="E222" s="331"/>
      <c r="F222" s="331"/>
      <c r="G222" s="331"/>
      <c r="H222" s="333"/>
    </row>
    <row r="223" spans="2:8" x14ac:dyDescent="0.2">
      <c r="B223" s="364" t="s">
        <v>1445</v>
      </c>
      <c r="C223" s="364"/>
      <c r="D223" s="331"/>
      <c r="F223" s="331"/>
      <c r="G223" s="331"/>
      <c r="H223" s="333"/>
    </row>
    <row r="224" spans="2:8" x14ac:dyDescent="0.2">
      <c r="B224" s="364" t="s">
        <v>1446</v>
      </c>
      <c r="C224" s="374">
        <v>47372</v>
      </c>
      <c r="D224" s="331"/>
      <c r="F224" s="375"/>
      <c r="G224" s="375"/>
      <c r="H224" s="333"/>
    </row>
    <row r="225" spans="2:8" x14ac:dyDescent="0.2">
      <c r="B225" s="364" t="s">
        <v>1447</v>
      </c>
      <c r="C225" s="374">
        <v>47372</v>
      </c>
      <c r="D225" s="331"/>
      <c r="F225" s="375"/>
      <c r="G225" s="375"/>
      <c r="H225" s="333"/>
    </row>
    <row r="226" spans="2:8" x14ac:dyDescent="0.2">
      <c r="B226" s="364" t="s">
        <v>1448</v>
      </c>
      <c r="C226" s="374">
        <v>0</v>
      </c>
      <c r="D226" s="331"/>
      <c r="F226" s="375"/>
      <c r="G226" s="375"/>
      <c r="H226" s="333"/>
    </row>
    <row r="227" spans="2:8" x14ac:dyDescent="0.2">
      <c r="B227" s="364" t="s">
        <v>1449</v>
      </c>
      <c r="C227" s="374">
        <v>0</v>
      </c>
      <c r="D227" s="331"/>
      <c r="F227" s="375"/>
      <c r="G227" s="375"/>
      <c r="H227" s="333"/>
    </row>
    <row r="228" spans="2:8" x14ac:dyDescent="0.2">
      <c r="B228" s="364" t="s">
        <v>1450</v>
      </c>
      <c r="C228" s="374">
        <v>23639807466.920006</v>
      </c>
      <c r="D228" s="331"/>
      <c r="F228" s="375"/>
      <c r="G228" s="375"/>
      <c r="H228" s="333"/>
    </row>
    <row r="229" spans="2:8" x14ac:dyDescent="0.2">
      <c r="B229" s="364" t="s">
        <v>1451</v>
      </c>
      <c r="C229" s="374">
        <v>26087619786.750004</v>
      </c>
      <c r="D229" s="331"/>
      <c r="F229" s="375"/>
      <c r="G229" s="375"/>
      <c r="H229" s="333"/>
    </row>
    <row r="230" spans="2:8" x14ac:dyDescent="0.2">
      <c r="B230" s="364" t="s">
        <v>1452</v>
      </c>
      <c r="C230" s="374">
        <v>0</v>
      </c>
      <c r="D230" s="331"/>
      <c r="F230" s="375"/>
      <c r="G230" s="376"/>
      <c r="H230" s="333"/>
    </row>
    <row r="231" spans="2:8" x14ac:dyDescent="0.2">
      <c r="B231" s="364" t="s">
        <v>1453</v>
      </c>
      <c r="C231" s="374">
        <v>2447812319.829999</v>
      </c>
      <c r="D231" s="331"/>
      <c r="F231" s="375"/>
      <c r="G231" s="377"/>
      <c r="H231" s="333"/>
    </row>
    <row r="232" spans="2:8" x14ac:dyDescent="0.2">
      <c r="B232" s="328"/>
      <c r="C232" s="331"/>
      <c r="D232" s="331"/>
      <c r="E232" s="378"/>
      <c r="F232" s="378"/>
      <c r="G232" s="375"/>
      <c r="H232" s="333"/>
    </row>
    <row r="233" spans="2:8" x14ac:dyDescent="0.2">
      <c r="B233" s="379" t="s">
        <v>1721</v>
      </c>
      <c r="C233" s="379"/>
      <c r="D233" s="373"/>
      <c r="E233" s="331"/>
      <c r="F233" s="331"/>
      <c r="G233" s="331"/>
      <c r="H233" s="333"/>
    </row>
    <row r="234" spans="2:8" x14ac:dyDescent="0.2">
      <c r="B234" s="364" t="s">
        <v>1445</v>
      </c>
      <c r="C234" s="380">
        <v>18941</v>
      </c>
      <c r="D234" s="331"/>
      <c r="E234" s="331"/>
      <c r="H234" s="333"/>
    </row>
    <row r="235" spans="2:8" x14ac:dyDescent="0.2">
      <c r="B235" s="364" t="s">
        <v>1446</v>
      </c>
      <c r="C235" s="374">
        <v>0</v>
      </c>
      <c r="D235" s="331"/>
      <c r="E235" s="331"/>
      <c r="H235" s="333"/>
    </row>
    <row r="236" spans="2:8" x14ac:dyDescent="0.2">
      <c r="B236" s="364" t="s">
        <v>1447</v>
      </c>
      <c r="C236" s="374">
        <v>0</v>
      </c>
      <c r="D236" s="331"/>
      <c r="E236" s="331"/>
      <c r="H236" s="333"/>
    </row>
    <row r="237" spans="2:8" x14ac:dyDescent="0.2">
      <c r="B237" s="364" t="s">
        <v>1448</v>
      </c>
      <c r="C237" s="380">
        <v>18941</v>
      </c>
      <c r="D237" s="331"/>
      <c r="E237" s="331"/>
      <c r="H237" s="333"/>
    </row>
    <row r="238" spans="2:8" x14ac:dyDescent="0.2">
      <c r="B238" s="364" t="s">
        <v>1449</v>
      </c>
      <c r="C238" s="374">
        <v>0</v>
      </c>
      <c r="D238" s="331"/>
      <c r="E238" s="331"/>
      <c r="H238" s="333"/>
    </row>
    <row r="239" spans="2:8" x14ac:dyDescent="0.2">
      <c r="B239" s="364" t="s">
        <v>1450</v>
      </c>
      <c r="C239" s="380">
        <v>9638920759.6399994</v>
      </c>
      <c r="D239" s="331"/>
      <c r="E239" s="331"/>
      <c r="H239" s="333"/>
    </row>
    <row r="240" spans="2:8" x14ac:dyDescent="0.2">
      <c r="B240" s="364" t="s">
        <v>1451</v>
      </c>
      <c r="C240" s="374">
        <v>0</v>
      </c>
      <c r="D240" s="331"/>
      <c r="E240" s="331"/>
      <c r="H240" s="333"/>
    </row>
    <row r="241" spans="2:8" x14ac:dyDescent="0.2">
      <c r="B241" s="364" t="s">
        <v>1452</v>
      </c>
      <c r="C241" s="380">
        <v>9587022625</v>
      </c>
      <c r="D241" s="331"/>
      <c r="E241" s="331"/>
      <c r="H241" s="333"/>
    </row>
    <row r="242" spans="2:8" x14ac:dyDescent="0.2">
      <c r="B242" s="364" t="s">
        <v>1453</v>
      </c>
      <c r="C242" s="380">
        <v>-51898134.640000001</v>
      </c>
      <c r="D242" s="331"/>
      <c r="E242" s="331"/>
      <c r="H242" s="333"/>
    </row>
    <row r="243" spans="2:8" x14ac:dyDescent="0.2">
      <c r="B243" s="335"/>
      <c r="C243" s="331"/>
      <c r="D243" s="331"/>
      <c r="E243" s="331"/>
      <c r="H243" s="333"/>
    </row>
    <row r="244" spans="2:8" x14ac:dyDescent="0.2">
      <c r="B244" s="381" t="s">
        <v>1454</v>
      </c>
      <c r="C244" s="382"/>
      <c r="D244" s="382"/>
      <c r="E244" s="378"/>
      <c r="F244" s="375"/>
      <c r="G244" s="375"/>
      <c r="H244" s="333"/>
    </row>
    <row r="245" spans="2:8" x14ac:dyDescent="0.2">
      <c r="B245" s="328"/>
      <c r="C245" s="331"/>
      <c r="D245" s="331"/>
      <c r="E245" s="331"/>
      <c r="F245" s="357"/>
      <c r="G245" s="357"/>
      <c r="H245" s="333"/>
    </row>
    <row r="246" spans="2:8" x14ac:dyDescent="0.2">
      <c r="B246" s="335" t="s">
        <v>1642</v>
      </c>
      <c r="C246" s="373"/>
      <c r="D246" s="373"/>
      <c r="E246" s="331"/>
      <c r="F246" s="383"/>
      <c r="G246" s="331"/>
      <c r="H246" s="333"/>
    </row>
    <row r="247" spans="2:8" x14ac:dyDescent="0.2">
      <c r="B247" s="381"/>
      <c r="C247" s="382"/>
      <c r="D247" s="382"/>
      <c r="E247" s="331"/>
      <c r="F247" s="331"/>
      <c r="G247" s="331"/>
      <c r="H247" s="333"/>
    </row>
    <row r="248" spans="2:8" x14ac:dyDescent="0.2">
      <c r="B248" s="335" t="s">
        <v>1643</v>
      </c>
      <c r="C248" s="373"/>
      <c r="D248" s="373"/>
      <c r="E248" s="331"/>
      <c r="F248" s="383"/>
      <c r="G248" s="331"/>
      <c r="H248" s="333"/>
    </row>
    <row r="249" spans="2:8" x14ac:dyDescent="0.2">
      <c r="B249" s="335"/>
      <c r="C249" s="373"/>
      <c r="D249" s="373"/>
      <c r="E249" s="331"/>
      <c r="F249" s="383"/>
      <c r="G249" s="331"/>
      <c r="H249" s="333"/>
    </row>
    <row r="250" spans="2:8" x14ac:dyDescent="0.2">
      <c r="B250" s="328" t="s">
        <v>1455</v>
      </c>
      <c r="C250" s="331"/>
      <c r="D250" s="331"/>
      <c r="E250" s="331"/>
      <c r="F250" s="331"/>
      <c r="G250" s="331"/>
      <c r="H250" s="333"/>
    </row>
    <row r="251" spans="2:8" x14ac:dyDescent="0.2">
      <c r="B251" s="335"/>
      <c r="C251" s="373"/>
      <c r="D251" s="373"/>
      <c r="E251" s="331"/>
      <c r="F251" s="383"/>
      <c r="G251" s="331"/>
      <c r="H251" s="333"/>
    </row>
    <row r="252" spans="2:8" x14ac:dyDescent="0.2">
      <c r="B252" s="335" t="s">
        <v>1714</v>
      </c>
      <c r="C252" s="373"/>
      <c r="D252" s="373"/>
      <c r="E252" s="331"/>
      <c r="F252" s="331"/>
      <c r="G252" s="331"/>
      <c r="H252" s="333"/>
    </row>
    <row r="253" spans="2:8" x14ac:dyDescent="0.2">
      <c r="B253" s="364" t="s">
        <v>1456</v>
      </c>
      <c r="C253" s="374">
        <v>21356</v>
      </c>
      <c r="D253" s="331"/>
      <c r="F253" s="331"/>
      <c r="G253" s="331"/>
      <c r="H253" s="333"/>
    </row>
    <row r="254" spans="2:8" x14ac:dyDescent="0.2">
      <c r="B254" s="364" t="s">
        <v>1457</v>
      </c>
      <c r="C254" s="374">
        <v>14188880000</v>
      </c>
      <c r="D254" s="331"/>
      <c r="F254" s="357"/>
      <c r="G254" s="384"/>
      <c r="H254" s="385"/>
    </row>
    <row r="255" spans="2:8" x14ac:dyDescent="0.2">
      <c r="B255" s="364" t="s">
        <v>1458</v>
      </c>
      <c r="C255" s="374">
        <v>48624422.260000005</v>
      </c>
      <c r="D255" s="331"/>
      <c r="F255" s="331"/>
      <c r="G255" s="386"/>
      <c r="H255" s="385"/>
    </row>
    <row r="256" spans="2:8" x14ac:dyDescent="0.2">
      <c r="B256" s="328"/>
      <c r="C256" s="331"/>
      <c r="D256" s="331"/>
      <c r="E256" s="331"/>
      <c r="F256" s="331"/>
      <c r="G256" s="331"/>
      <c r="H256" s="385"/>
    </row>
    <row r="257" spans="2:12" x14ac:dyDescent="0.2">
      <c r="B257" s="335" t="s">
        <v>1644</v>
      </c>
      <c r="C257" s="331"/>
      <c r="D257" s="331"/>
      <c r="E257" s="331"/>
      <c r="F257" s="331"/>
      <c r="G257" s="331"/>
      <c r="H257" s="385"/>
    </row>
    <row r="258" spans="2:12" x14ac:dyDescent="0.2">
      <c r="B258" s="387"/>
      <c r="C258" s="388"/>
      <c r="D258" s="388"/>
      <c r="E258" s="388"/>
      <c r="F258" s="388"/>
      <c r="G258" s="389"/>
      <c r="H258" s="390"/>
    </row>
    <row r="261" spans="2:12" ht="14.25" customHeight="1" x14ac:dyDescent="0.2">
      <c r="B261" s="468" t="s">
        <v>1459</v>
      </c>
      <c r="C261" s="469" t="s">
        <v>1460</v>
      </c>
      <c r="D261" s="469"/>
      <c r="E261" s="391" t="s">
        <v>1461</v>
      </c>
      <c r="F261" s="391" t="s">
        <v>1462</v>
      </c>
      <c r="G261" s="470" t="s">
        <v>1463</v>
      </c>
      <c r="H261" s="471"/>
      <c r="I261" s="471"/>
      <c r="J261" s="472"/>
    </row>
    <row r="262" spans="2:12" ht="36" x14ac:dyDescent="0.2">
      <c r="B262" s="468"/>
      <c r="C262" s="392" t="s">
        <v>1464</v>
      </c>
      <c r="D262" s="392" t="s">
        <v>1465</v>
      </c>
      <c r="E262" s="392" t="s">
        <v>1466</v>
      </c>
      <c r="F262" s="392" t="s">
        <v>1467</v>
      </c>
      <c r="G262" s="392" t="s">
        <v>1464</v>
      </c>
      <c r="H262" s="392" t="s">
        <v>1465</v>
      </c>
      <c r="I262" s="392" t="s">
        <v>1466</v>
      </c>
      <c r="J262" s="392" t="s">
        <v>1467</v>
      </c>
    </row>
    <row r="263" spans="2:12" x14ac:dyDescent="0.2">
      <c r="B263" s="393" t="s">
        <v>1468</v>
      </c>
      <c r="C263" s="394">
        <v>0.1730936026581944</v>
      </c>
      <c r="D263" s="394">
        <v>0.18137849248182603</v>
      </c>
      <c r="E263" s="394">
        <v>0.1342570038143569</v>
      </c>
      <c r="F263" s="394">
        <v>0.12146436843156416</v>
      </c>
      <c r="G263" s="395">
        <v>77883.799999999988</v>
      </c>
      <c r="H263" s="395">
        <v>85259.900000000009</v>
      </c>
      <c r="I263" s="395">
        <v>50518.982450144031</v>
      </c>
      <c r="J263" s="395">
        <v>43663.496330393071</v>
      </c>
    </row>
    <row r="264" spans="2:12" x14ac:dyDescent="0.2">
      <c r="B264" s="396" t="s">
        <v>1645</v>
      </c>
      <c r="C264" s="397">
        <v>-1.2671867591914188E-2</v>
      </c>
      <c r="D264" s="397">
        <v>-6.2960299580070433E-3</v>
      </c>
      <c r="E264" s="397">
        <v>-2.8839608423928742E-2</v>
      </c>
      <c r="F264" s="397">
        <v>-3.9899777714890838E-2</v>
      </c>
      <c r="G264" s="398">
        <v>9873.2813240808573</v>
      </c>
      <c r="H264" s="398">
        <v>9937.0397004199294</v>
      </c>
      <c r="I264" s="398">
        <v>9711.603915760712</v>
      </c>
      <c r="J264" s="398">
        <v>9601.0022228510916</v>
      </c>
    </row>
    <row r="265" spans="2:12" x14ac:dyDescent="0.2">
      <c r="B265" s="396" t="s">
        <v>1646</v>
      </c>
      <c r="C265" s="397">
        <v>0.16315677248740523</v>
      </c>
      <c r="D265" s="397">
        <v>0.1713604873860779</v>
      </c>
      <c r="E265" s="397">
        <v>0.1321883670668571</v>
      </c>
      <c r="F265" s="397">
        <v>0.10028672579195685</v>
      </c>
      <c r="G265" s="398">
        <v>15736.739695746963</v>
      </c>
      <c r="H265" s="398">
        <v>16072.066128165736</v>
      </c>
      <c r="I265" s="398">
        <v>14512.962227449119</v>
      </c>
      <c r="J265" s="398">
        <v>13320.410859469184</v>
      </c>
    </row>
    <row r="266" spans="2:12" x14ac:dyDescent="0.2">
      <c r="B266" s="396" t="s">
        <v>1647</v>
      </c>
      <c r="C266" s="397">
        <v>0.15432752115601156</v>
      </c>
      <c r="D266" s="397">
        <v>0.16383463411319044</v>
      </c>
      <c r="E266" s="397">
        <v>0.11882251247685072</v>
      </c>
      <c r="F266" s="397">
        <v>0.10011430391484488</v>
      </c>
      <c r="G266" s="398">
        <v>20494.87390004631</v>
      </c>
      <c r="H266" s="398">
        <v>21352.876355531065</v>
      </c>
      <c r="I266" s="398">
        <v>17530.971446644911</v>
      </c>
      <c r="J266" s="398">
        <v>16113.469357269665</v>
      </c>
    </row>
    <row r="267" spans="2:12" x14ac:dyDescent="0.2">
      <c r="B267" s="396" t="s">
        <v>1648</v>
      </c>
      <c r="C267" s="397">
        <v>0.16552802727458693</v>
      </c>
      <c r="D267" s="397">
        <v>0.17446997466383096</v>
      </c>
      <c r="E267" s="397">
        <v>0.13507062175483719</v>
      </c>
      <c r="F267" s="397">
        <v>0.12538299986716517</v>
      </c>
      <c r="G267" s="398">
        <v>46281.717593087793</v>
      </c>
      <c r="H267" s="398">
        <v>49958.631438934499</v>
      </c>
      <c r="I267" s="398">
        <v>35512.363743409034</v>
      </c>
      <c r="J267" s="398">
        <v>32594.479686213745</v>
      </c>
    </row>
    <row r="268" spans="2:12" x14ac:dyDescent="0.2">
      <c r="B268" s="329"/>
      <c r="C268" s="399"/>
      <c r="D268" s="399"/>
      <c r="E268" s="399"/>
      <c r="F268" s="399"/>
      <c r="G268" s="399"/>
      <c r="H268" s="400"/>
      <c r="I268" s="400"/>
      <c r="J268" s="400"/>
      <c r="K268" s="400"/>
      <c r="L268" s="331"/>
    </row>
    <row r="269" spans="2:12" x14ac:dyDescent="0.2">
      <c r="B269" s="331"/>
      <c r="C269" s="331"/>
      <c r="D269" s="331"/>
      <c r="E269" s="331"/>
      <c r="F269" s="331"/>
      <c r="G269" s="331"/>
      <c r="H269" s="331"/>
      <c r="I269" s="331"/>
      <c r="J269" s="331"/>
      <c r="K269" s="331"/>
      <c r="L269" s="331"/>
    </row>
    <row r="270" spans="2:12" ht="12" customHeight="1" x14ac:dyDescent="0.2">
      <c r="B270" s="459" t="s">
        <v>1469</v>
      </c>
      <c r="C270" s="459"/>
      <c r="D270" s="459"/>
      <c r="E270" s="459"/>
      <c r="F270" s="459"/>
      <c r="G270" s="329"/>
      <c r="H270" s="331"/>
      <c r="I270" s="331"/>
      <c r="J270" s="331"/>
      <c r="K270" s="331"/>
      <c r="L270" s="331"/>
    </row>
    <row r="271" spans="2:12" ht="48" x14ac:dyDescent="0.2">
      <c r="B271" s="379"/>
      <c r="C271" s="401" t="s">
        <v>1468</v>
      </c>
      <c r="D271" s="392" t="s">
        <v>1645</v>
      </c>
      <c r="E271" s="392" t="s">
        <v>1646</v>
      </c>
      <c r="F271" s="392" t="s">
        <v>1647</v>
      </c>
      <c r="G271" s="392" t="s">
        <v>1648</v>
      </c>
      <c r="H271" s="331"/>
      <c r="I271" s="331"/>
      <c r="J271" s="331"/>
      <c r="K271" s="331"/>
      <c r="L271" s="331"/>
    </row>
    <row r="272" spans="2:12" x14ac:dyDescent="0.2">
      <c r="B272" s="393" t="s">
        <v>1470</v>
      </c>
      <c r="C272" s="364">
        <v>1550000</v>
      </c>
      <c r="D272" s="364">
        <v>120000</v>
      </c>
      <c r="E272" s="364">
        <v>360000</v>
      </c>
      <c r="F272" s="364">
        <v>600000</v>
      </c>
      <c r="G272" s="364">
        <v>1200000</v>
      </c>
      <c r="H272" s="331"/>
      <c r="I272" s="331"/>
      <c r="J272" s="331"/>
      <c r="K272" s="331"/>
      <c r="L272" s="331"/>
    </row>
    <row r="273" spans="2:12" x14ac:dyDescent="0.2">
      <c r="B273" s="393" t="s">
        <v>1471</v>
      </c>
      <c r="C273" s="402">
        <v>4878252.9838341</v>
      </c>
      <c r="D273" s="402">
        <v>111893.696559403</v>
      </c>
      <c r="E273" s="402">
        <v>394247.93436548102</v>
      </c>
      <c r="F273" s="402">
        <v>795735.07015728904</v>
      </c>
      <c r="G273" s="402">
        <v>2832955.7248478299</v>
      </c>
      <c r="H273" s="331"/>
      <c r="I273" s="331"/>
      <c r="J273" s="331"/>
      <c r="K273" s="331"/>
      <c r="L273" s="331"/>
    </row>
    <row r="274" spans="2:12" x14ac:dyDescent="0.2">
      <c r="B274" s="393" t="s">
        <v>1472</v>
      </c>
      <c r="C274" s="403">
        <v>16.455733508142298</v>
      </c>
      <c r="D274" s="403">
        <v>-12.345518010876599</v>
      </c>
      <c r="E274" s="403">
        <v>6.0042950333338396</v>
      </c>
      <c r="F274" s="403">
        <v>11.248478460455599</v>
      </c>
      <c r="G274" s="403">
        <v>16.386479002158701</v>
      </c>
      <c r="H274" s="404"/>
      <c r="I274" s="331"/>
      <c r="J274" s="404"/>
      <c r="K274" s="404"/>
      <c r="L274" s="404"/>
    </row>
    <row r="275" spans="2:12" x14ac:dyDescent="0.2">
      <c r="B275" s="393" t="s">
        <v>1473</v>
      </c>
      <c r="C275" s="403">
        <v>12.539380651613399</v>
      </c>
      <c r="D275" s="403">
        <v>-18.155506556697102</v>
      </c>
      <c r="E275" s="403">
        <v>1.3818837754173601</v>
      </c>
      <c r="F275" s="403">
        <v>7.3791349583620702</v>
      </c>
      <c r="G275" s="403">
        <v>12.157081546170099</v>
      </c>
      <c r="H275" s="404"/>
      <c r="I275" s="331"/>
      <c r="J275" s="404"/>
      <c r="K275" s="404"/>
      <c r="L275" s="404"/>
    </row>
    <row r="276" spans="2:12" x14ac:dyDescent="0.2">
      <c r="B276" s="393" t="s">
        <v>1474</v>
      </c>
      <c r="C276" s="403">
        <v>11.3358398748396</v>
      </c>
      <c r="D276" s="403">
        <v>-18.417981705665401</v>
      </c>
      <c r="E276" s="403">
        <v>0.47816267782716498</v>
      </c>
      <c r="F276" s="403">
        <v>5.8129352439752804</v>
      </c>
      <c r="G276" s="403">
        <v>10.990499199082601</v>
      </c>
      <c r="H276" s="404"/>
      <c r="I276" s="331"/>
      <c r="J276" s="404"/>
      <c r="K276" s="404"/>
      <c r="L276" s="404"/>
    </row>
    <row r="277" spans="2:12" x14ac:dyDescent="0.2">
      <c r="B277" s="331"/>
      <c r="C277" s="331"/>
      <c r="D277" s="331"/>
      <c r="E277" s="331"/>
      <c r="F277" s="331"/>
      <c r="G277" s="331"/>
      <c r="H277" s="331"/>
      <c r="I277" s="331"/>
      <c r="J277" s="331"/>
      <c r="K277" s="331"/>
      <c r="L277" s="331"/>
    </row>
    <row r="278" spans="2:12" ht="12" customHeight="1" x14ac:dyDescent="0.2">
      <c r="B278" s="459" t="s">
        <v>1475</v>
      </c>
      <c r="C278" s="459"/>
      <c r="D278" s="459"/>
      <c r="E278" s="459"/>
      <c r="F278" s="459"/>
      <c r="G278" s="329"/>
      <c r="H278" s="331"/>
      <c r="I278" s="331"/>
      <c r="J278" s="331"/>
      <c r="K278" s="331"/>
      <c r="L278" s="331"/>
    </row>
    <row r="279" spans="2:12" ht="48" x14ac:dyDescent="0.2">
      <c r="B279" s="379"/>
      <c r="C279" s="401" t="s">
        <v>1468</v>
      </c>
      <c r="D279" s="392" t="s">
        <v>1645</v>
      </c>
      <c r="E279" s="392" t="s">
        <v>1646</v>
      </c>
      <c r="F279" s="392" t="s">
        <v>1647</v>
      </c>
      <c r="G279" s="392" t="s">
        <v>1648</v>
      </c>
      <c r="H279" s="331"/>
      <c r="I279" s="331"/>
      <c r="J279" s="331"/>
      <c r="K279" s="331"/>
      <c r="L279" s="331"/>
    </row>
    <row r="280" spans="2:12" x14ac:dyDescent="0.2">
      <c r="B280" s="393" t="s">
        <v>1470</v>
      </c>
      <c r="C280" s="364">
        <v>1550000</v>
      </c>
      <c r="D280" s="364">
        <v>120000</v>
      </c>
      <c r="E280" s="364">
        <v>360000</v>
      </c>
      <c r="F280" s="364">
        <v>600000</v>
      </c>
      <c r="G280" s="364">
        <v>1200000</v>
      </c>
      <c r="H280" s="331"/>
      <c r="I280" s="331"/>
      <c r="J280" s="331"/>
      <c r="K280" s="331"/>
      <c r="L280" s="331"/>
    </row>
    <row r="281" spans="2:12" x14ac:dyDescent="0.2">
      <c r="B281" s="393" t="s">
        <v>1471</v>
      </c>
      <c r="C281" s="402">
        <v>5208962.7115431596</v>
      </c>
      <c r="D281" s="402">
        <v>112286.615984173</v>
      </c>
      <c r="E281" s="402">
        <v>398771.21673606202</v>
      </c>
      <c r="F281" s="402">
        <v>813044.23942936806</v>
      </c>
      <c r="G281" s="402">
        <v>2982397.6390213501</v>
      </c>
      <c r="H281" s="331"/>
      <c r="I281" s="331"/>
      <c r="J281" s="331"/>
      <c r="K281" s="331"/>
      <c r="L281" s="331"/>
    </row>
    <row r="282" spans="2:12" x14ac:dyDescent="0.2">
      <c r="B282" s="393" t="s">
        <v>1472</v>
      </c>
      <c r="C282" s="403">
        <v>17.353965517499901</v>
      </c>
      <c r="D282" s="403">
        <v>-11.758950206576101</v>
      </c>
      <c r="E282" s="403">
        <v>6.7709189309481701</v>
      </c>
      <c r="F282" s="403">
        <v>12.1170041139533</v>
      </c>
      <c r="G282" s="403">
        <v>17.341602333557699</v>
      </c>
      <c r="H282" s="404"/>
      <c r="I282" s="404"/>
      <c r="J282" s="404"/>
      <c r="K282" s="404"/>
      <c r="L282" s="404"/>
    </row>
    <row r="283" spans="2:12" x14ac:dyDescent="0.2">
      <c r="B283" s="393" t="s">
        <v>1473</v>
      </c>
      <c r="C283" s="403">
        <v>12.539380651613399</v>
      </c>
      <c r="D283" s="403">
        <v>-18.155506556697102</v>
      </c>
      <c r="E283" s="403">
        <v>1.3818837754173601</v>
      </c>
      <c r="F283" s="403">
        <v>7.3791349583620702</v>
      </c>
      <c r="G283" s="403">
        <v>12.157081546170099</v>
      </c>
      <c r="H283" s="404"/>
      <c r="I283" s="404"/>
      <c r="J283" s="404"/>
      <c r="K283" s="404"/>
      <c r="L283" s="404"/>
    </row>
    <row r="284" spans="2:12" x14ac:dyDescent="0.2">
      <c r="B284" s="393" t="s">
        <v>1474</v>
      </c>
      <c r="C284" s="403">
        <v>11.3358398748396</v>
      </c>
      <c r="D284" s="403">
        <v>-18.417981705665401</v>
      </c>
      <c r="E284" s="403">
        <v>0.47816267782716498</v>
      </c>
      <c r="F284" s="403">
        <v>5.8129352439752804</v>
      </c>
      <c r="G284" s="403">
        <v>10.990499199082601</v>
      </c>
      <c r="H284" s="404"/>
      <c r="I284" s="404"/>
      <c r="J284" s="404"/>
      <c r="K284" s="404"/>
      <c r="L284" s="404"/>
    </row>
    <row r="285" spans="2:12" x14ac:dyDescent="0.2">
      <c r="B285" s="331"/>
      <c r="C285" s="331"/>
      <c r="D285" s="331"/>
      <c r="E285" s="331"/>
      <c r="F285" s="331"/>
      <c r="G285" s="331"/>
      <c r="H285" s="331"/>
      <c r="I285" s="331"/>
      <c r="J285" s="331"/>
      <c r="K285" s="331"/>
      <c r="L285" s="331"/>
    </row>
    <row r="286" spans="2:12" x14ac:dyDescent="0.2">
      <c r="B286" s="379" t="s">
        <v>1476</v>
      </c>
      <c r="C286" s="379"/>
      <c r="D286" s="331"/>
      <c r="E286" s="331"/>
      <c r="F286" s="331"/>
      <c r="G286" s="331"/>
      <c r="H286" s="331"/>
      <c r="I286" s="331"/>
      <c r="J286" s="331"/>
      <c r="K286" s="331"/>
      <c r="L286" s="331"/>
    </row>
    <row r="287" spans="2:12" x14ac:dyDescent="0.2">
      <c r="B287" s="364" t="s">
        <v>1477</v>
      </c>
      <c r="C287" s="405">
        <v>9.8824438102148623E-2</v>
      </c>
      <c r="D287" s="331"/>
      <c r="E287" s="406"/>
      <c r="F287" s="331"/>
      <c r="G287" s="331"/>
      <c r="H287" s="331"/>
      <c r="I287" s="331"/>
      <c r="J287" s="331"/>
      <c r="K287" s="331"/>
      <c r="L287" s="331"/>
    </row>
    <row r="288" spans="2:12" x14ac:dyDescent="0.2">
      <c r="B288" s="364" t="s">
        <v>1478</v>
      </c>
      <c r="C288" s="405">
        <v>0.14670931553681582</v>
      </c>
      <c r="D288" s="331"/>
      <c r="E288" s="406"/>
      <c r="F288" s="331"/>
      <c r="G288" s="331"/>
      <c r="H288" s="331"/>
      <c r="I288" s="331"/>
      <c r="J288" s="331"/>
      <c r="K288" s="331"/>
      <c r="L288" s="331"/>
    </row>
    <row r="289" spans="2:12" x14ac:dyDescent="0.2">
      <c r="B289" s="364" t="s">
        <v>1479</v>
      </c>
      <c r="C289" s="407">
        <v>0.88088590763023467</v>
      </c>
      <c r="D289" s="331"/>
      <c r="E289" s="408"/>
      <c r="F289" s="331"/>
      <c r="G289" s="331"/>
      <c r="H289" s="331"/>
      <c r="I289" s="331"/>
      <c r="J289" s="331"/>
      <c r="K289" s="331"/>
      <c r="L289" s="331"/>
    </row>
    <row r="290" spans="2:12" x14ac:dyDescent="0.2">
      <c r="B290" s="364" t="s">
        <v>1480</v>
      </c>
      <c r="C290" s="407">
        <v>0.62467729710153175</v>
      </c>
      <c r="D290" s="331"/>
      <c r="E290" s="408"/>
      <c r="F290" s="331"/>
      <c r="G290" s="331"/>
      <c r="H290" s="331"/>
      <c r="I290" s="331"/>
      <c r="J290" s="331"/>
      <c r="K290" s="331"/>
      <c r="L290" s="331"/>
    </row>
    <row r="291" spans="2:12" x14ac:dyDescent="0.2">
      <c r="B291" s="409" t="s">
        <v>1481</v>
      </c>
      <c r="C291" s="407">
        <v>0.32325050779601394</v>
      </c>
      <c r="D291" s="331"/>
      <c r="E291" s="408"/>
      <c r="F291" s="331"/>
      <c r="G291" s="331"/>
      <c r="H291" s="331"/>
      <c r="I291" s="331"/>
      <c r="J291" s="331"/>
      <c r="K291" s="331"/>
      <c r="L291" s="331"/>
    </row>
    <row r="292" spans="2:12" x14ac:dyDescent="0.2">
      <c r="B292" s="364" t="s">
        <v>1482</v>
      </c>
      <c r="C292" s="407">
        <v>0.13935684113634433</v>
      </c>
      <c r="D292" s="331"/>
      <c r="E292" s="408"/>
      <c r="F292" s="331"/>
      <c r="G292" s="331"/>
      <c r="H292" s="331"/>
      <c r="I292" s="331"/>
      <c r="J292" s="331"/>
      <c r="K292" s="331"/>
      <c r="L292" s="331"/>
    </row>
    <row r="293" spans="2:12" x14ac:dyDescent="0.2">
      <c r="B293" s="364" t="s">
        <v>1483</v>
      </c>
      <c r="C293" s="410">
        <v>-3.4134446146900976E-2</v>
      </c>
      <c r="D293" s="331"/>
      <c r="E293" s="408"/>
      <c r="F293" s="331"/>
      <c r="G293" s="331"/>
      <c r="H293" s="331"/>
      <c r="I293" s="331"/>
      <c r="J293" s="331"/>
      <c r="K293" s="331"/>
      <c r="L293" s="331"/>
    </row>
    <row r="294" spans="2:12" x14ac:dyDescent="0.2">
      <c r="B294" s="393" t="s">
        <v>1484</v>
      </c>
      <c r="C294" s="411">
        <v>6.9800000000000001E-2</v>
      </c>
      <c r="D294" s="331"/>
      <c r="E294" s="406"/>
      <c r="F294" s="331"/>
      <c r="G294" s="331"/>
      <c r="H294" s="331"/>
      <c r="I294" s="331"/>
      <c r="J294" s="331"/>
      <c r="K294" s="331"/>
      <c r="L294" s="331"/>
    </row>
    <row r="295" spans="2:12" x14ac:dyDescent="0.2">
      <c r="B295" s="329"/>
      <c r="C295" s="406"/>
      <c r="D295" s="331"/>
      <c r="E295" s="406"/>
      <c r="F295" s="331"/>
      <c r="G295" s="331"/>
      <c r="H295" s="331"/>
      <c r="I295" s="331"/>
      <c r="J295" s="331"/>
      <c r="K295" s="331"/>
      <c r="L295" s="331"/>
    </row>
    <row r="296" spans="2:12" x14ac:dyDescent="0.2">
      <c r="B296" s="391" t="s">
        <v>1649</v>
      </c>
      <c r="C296" s="379"/>
      <c r="D296" s="331"/>
      <c r="E296" s="406"/>
      <c r="F296" s="331"/>
      <c r="G296" s="331"/>
      <c r="H296" s="331"/>
      <c r="I296" s="331"/>
      <c r="J296" s="331"/>
      <c r="K296" s="331"/>
      <c r="L296" s="331"/>
    </row>
    <row r="297" spans="2:12" x14ac:dyDescent="0.2">
      <c r="B297" s="364" t="s">
        <v>1485</v>
      </c>
      <c r="C297" s="412">
        <v>0.29707350193606452</v>
      </c>
      <c r="D297" s="331"/>
      <c r="E297" s="406"/>
      <c r="F297" s="331"/>
      <c r="G297" s="331"/>
      <c r="H297" s="331"/>
      <c r="I297" s="331"/>
      <c r="J297" s="331"/>
      <c r="K297" s="331"/>
      <c r="L297" s="331"/>
    </row>
    <row r="298" spans="2:12" x14ac:dyDescent="0.2">
      <c r="B298" s="331"/>
      <c r="C298" s="413"/>
      <c r="D298" s="331"/>
      <c r="E298" s="406"/>
      <c r="F298" s="331"/>
      <c r="G298" s="331"/>
      <c r="H298" s="331"/>
      <c r="I298" s="331"/>
      <c r="J298" s="331"/>
      <c r="K298" s="331"/>
      <c r="L298" s="331"/>
    </row>
    <row r="299" spans="2:12" x14ac:dyDescent="0.2">
      <c r="B299" s="331" t="s">
        <v>1486</v>
      </c>
      <c r="C299" s="413"/>
      <c r="D299" s="331"/>
      <c r="E299" s="406"/>
      <c r="F299" s="331"/>
      <c r="G299" s="331"/>
      <c r="H299" s="331"/>
      <c r="I299" s="331"/>
      <c r="J299" s="331"/>
      <c r="K299" s="331"/>
      <c r="L299" s="331"/>
    </row>
    <row r="300" spans="2:12" x14ac:dyDescent="0.2">
      <c r="B300" s="331" t="s">
        <v>1487</v>
      </c>
      <c r="C300" s="413"/>
      <c r="D300" s="331"/>
      <c r="E300" s="406"/>
      <c r="F300" s="331"/>
      <c r="G300" s="331"/>
      <c r="H300" s="331"/>
      <c r="I300" s="331"/>
      <c r="J300" s="331"/>
      <c r="K300" s="331"/>
      <c r="L300" s="331"/>
    </row>
    <row r="301" spans="2:12" x14ac:dyDescent="0.2">
      <c r="B301" s="286" t="s">
        <v>1488</v>
      </c>
    </row>
    <row r="302" spans="2:12" ht="15" customHeight="1" x14ac:dyDescent="0.2">
      <c r="B302" s="286" t="s">
        <v>1489</v>
      </c>
    </row>
    <row r="303" spans="2:12" ht="17.25" customHeight="1" x14ac:dyDescent="0.2"/>
    <row r="304" spans="2:12" ht="15" customHeight="1" x14ac:dyDescent="0.2">
      <c r="B304" s="414" t="s">
        <v>1490</v>
      </c>
      <c r="C304" s="457" t="s">
        <v>1491</v>
      </c>
      <c r="D304" s="457"/>
    </row>
    <row r="305" spans="2:4" ht="15" customHeight="1" x14ac:dyDescent="0.2">
      <c r="B305" s="415"/>
      <c r="C305" s="458" t="s">
        <v>1492</v>
      </c>
      <c r="D305" s="458"/>
    </row>
    <row r="306" spans="2:4" x14ac:dyDescent="0.2">
      <c r="B306" s="415"/>
    </row>
    <row r="307" spans="2:4" ht="14.25" customHeight="1" x14ac:dyDescent="0.2">
      <c r="B307" s="415"/>
    </row>
    <row r="308" spans="2:4" x14ac:dyDescent="0.2">
      <c r="B308" s="415"/>
    </row>
    <row r="309" spans="2:4" x14ac:dyDescent="0.2">
      <c r="B309" s="415"/>
    </row>
    <row r="310" spans="2:4" ht="15" customHeight="1" x14ac:dyDescent="0.2">
      <c r="B310" s="415"/>
    </row>
    <row r="311" spans="2:4" ht="15" customHeight="1" x14ac:dyDescent="0.2">
      <c r="B311" s="415"/>
    </row>
    <row r="312" spans="2:4" ht="15" customHeight="1" x14ac:dyDescent="0.2">
      <c r="B312" s="415"/>
    </row>
    <row r="313" spans="2:4" ht="15" customHeight="1" x14ac:dyDescent="0.2">
      <c r="B313" s="415"/>
    </row>
    <row r="314" spans="2:4" ht="15" customHeight="1" x14ac:dyDescent="0.2">
      <c r="B314" s="415"/>
    </row>
    <row r="315" spans="2:4" ht="14.25" customHeight="1" x14ac:dyDescent="0.2"/>
    <row r="318" spans="2:4" ht="15" customHeight="1" x14ac:dyDescent="0.2"/>
    <row r="319" spans="2:4" ht="15" customHeight="1" x14ac:dyDescent="0.2"/>
    <row r="320" spans="2:4" ht="15" customHeight="1" x14ac:dyDescent="0.2"/>
    <row r="321" ht="15" customHeight="1" x14ac:dyDescent="0.2"/>
    <row r="322" ht="15" customHeight="1" x14ac:dyDescent="0.2"/>
  </sheetData>
  <mergeCells count="12">
    <mergeCell ref="G213:G218"/>
    <mergeCell ref="B220:G220"/>
    <mergeCell ref="B221:G221"/>
    <mergeCell ref="B261:B262"/>
    <mergeCell ref="C261:D261"/>
    <mergeCell ref="G261:J261"/>
    <mergeCell ref="B270:F270"/>
    <mergeCell ref="B278:F278"/>
    <mergeCell ref="C304:D304"/>
    <mergeCell ref="C305:D305"/>
    <mergeCell ref="B176:B177"/>
    <mergeCell ref="C176:C177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93"/>
  <sheetViews>
    <sheetView tabSelected="1" topLeftCell="A93" workbookViewId="0">
      <selection activeCell="D106" sqref="D106"/>
    </sheetView>
  </sheetViews>
  <sheetFormatPr defaultRowHeight="12" x14ac:dyDescent="0.2"/>
  <cols>
    <col min="1" max="1" width="3.28515625" style="47" customWidth="1"/>
    <col min="2" max="2" width="56" style="47" customWidth="1"/>
    <col min="3" max="3" width="20.140625" style="47" bestFit="1" customWidth="1"/>
    <col min="4" max="4" width="30.85546875" style="47" bestFit="1" customWidth="1"/>
    <col min="5" max="5" width="23.140625" style="47" bestFit="1" customWidth="1"/>
    <col min="6" max="6" width="13.5703125" style="47" customWidth="1"/>
    <col min="7" max="7" width="13.7109375" style="47" customWidth="1"/>
    <col min="8" max="8" width="11.5703125" style="47" customWidth="1"/>
    <col min="9" max="9" width="10.28515625" style="47" customWidth="1"/>
    <col min="10" max="16384" width="9.140625" style="47"/>
  </cols>
  <sheetData>
    <row r="1" spans="1:9" ht="15.95" customHeight="1" x14ac:dyDescent="0.2">
      <c r="A1" s="46"/>
      <c r="B1" s="22" t="s">
        <v>1189</v>
      </c>
      <c r="C1" s="46"/>
      <c r="D1" s="46"/>
      <c r="E1" s="46"/>
      <c r="F1" s="46"/>
      <c r="G1" s="46"/>
      <c r="H1" s="46"/>
      <c r="I1" s="46"/>
    </row>
    <row r="2" spans="1:9" ht="12.95" customHeight="1" x14ac:dyDescent="0.2">
      <c r="A2" s="46"/>
      <c r="B2" s="2"/>
      <c r="C2" s="46"/>
      <c r="D2" s="46"/>
      <c r="E2" s="46"/>
      <c r="F2" s="46"/>
      <c r="G2" s="46"/>
      <c r="H2" s="46"/>
      <c r="I2" s="46"/>
    </row>
    <row r="3" spans="1:9" ht="12.95" customHeight="1" x14ac:dyDescent="0.2">
      <c r="A3" s="3" t="s">
        <v>0</v>
      </c>
      <c r="B3" s="48" t="s">
        <v>1</v>
      </c>
      <c r="C3" s="46"/>
      <c r="D3" s="46"/>
      <c r="E3" s="46"/>
      <c r="F3" s="46"/>
      <c r="G3" s="46"/>
      <c r="H3" s="46"/>
      <c r="I3" s="46"/>
    </row>
    <row r="4" spans="1:9" ht="27.95" customHeight="1" x14ac:dyDescent="0.2">
      <c r="A4" s="46"/>
      <c r="B4" s="27" t="s">
        <v>2</v>
      </c>
      <c r="C4" s="28" t="s">
        <v>3</v>
      </c>
      <c r="D4" s="29" t="s">
        <v>353</v>
      </c>
      <c r="E4" s="29" t="s">
        <v>5</v>
      </c>
      <c r="F4" s="29" t="s">
        <v>6</v>
      </c>
      <c r="G4" s="29" t="s">
        <v>7</v>
      </c>
      <c r="H4" s="29" t="s">
        <v>8</v>
      </c>
      <c r="I4" s="30" t="s">
        <v>9</v>
      </c>
    </row>
    <row r="5" spans="1:9" ht="12.95" customHeight="1" x14ac:dyDescent="0.2">
      <c r="A5" s="46"/>
      <c r="B5" s="31" t="s">
        <v>354</v>
      </c>
      <c r="C5" s="4"/>
      <c r="D5" s="4"/>
      <c r="E5" s="4"/>
      <c r="F5" s="4"/>
      <c r="G5" s="4"/>
      <c r="H5" s="49"/>
      <c r="I5" s="50"/>
    </row>
    <row r="6" spans="1:9" ht="12.95" customHeight="1" x14ac:dyDescent="0.2">
      <c r="A6" s="46"/>
      <c r="B6" s="31" t="s">
        <v>355</v>
      </c>
      <c r="C6" s="4"/>
      <c r="D6" s="4"/>
      <c r="E6" s="4"/>
      <c r="F6" s="51"/>
      <c r="G6" s="49"/>
      <c r="H6" s="49"/>
      <c r="I6" s="50"/>
    </row>
    <row r="7" spans="1:9" ht="12.95" customHeight="1" x14ac:dyDescent="0.2">
      <c r="A7" s="5" t="s">
        <v>356</v>
      </c>
      <c r="B7" s="32" t="s">
        <v>357</v>
      </c>
      <c r="C7" s="4" t="s">
        <v>358</v>
      </c>
      <c r="D7" s="4" t="s">
        <v>332</v>
      </c>
      <c r="E7" s="6">
        <v>39975500</v>
      </c>
      <c r="F7" s="7">
        <v>39979.46</v>
      </c>
      <c r="G7" s="8">
        <v>7.7299999999999994E-2</v>
      </c>
      <c r="H7" s="14">
        <v>5.2416999999999998E-2</v>
      </c>
      <c r="I7" s="33"/>
    </row>
    <row r="8" spans="1:9" ht="12.95" customHeight="1" x14ac:dyDescent="0.2">
      <c r="A8" s="46"/>
      <c r="B8" s="34" t="s">
        <v>128</v>
      </c>
      <c r="C8" s="1"/>
      <c r="D8" s="1"/>
      <c r="E8" s="1"/>
      <c r="F8" s="10">
        <v>39979.46</v>
      </c>
      <c r="G8" s="11">
        <v>7.7299999999999994E-2</v>
      </c>
      <c r="H8" s="12"/>
      <c r="I8" s="35"/>
    </row>
    <row r="9" spans="1:9" ht="12.95" customHeight="1" x14ac:dyDescent="0.2">
      <c r="A9" s="46"/>
      <c r="B9" s="34" t="s">
        <v>359</v>
      </c>
      <c r="C9" s="1"/>
      <c r="D9" s="1"/>
      <c r="E9" s="1"/>
      <c r="F9" s="12" t="s">
        <v>164</v>
      </c>
      <c r="G9" s="12" t="s">
        <v>164</v>
      </c>
      <c r="H9" s="12"/>
      <c r="I9" s="35"/>
    </row>
    <row r="10" spans="1:9" ht="12.95" customHeight="1" x14ac:dyDescent="0.2">
      <c r="A10" s="46"/>
      <c r="B10" s="34" t="s">
        <v>128</v>
      </c>
      <c r="C10" s="1"/>
      <c r="D10" s="1"/>
      <c r="E10" s="1"/>
      <c r="F10" s="12" t="s">
        <v>164</v>
      </c>
      <c r="G10" s="12" t="s">
        <v>164</v>
      </c>
      <c r="H10" s="12"/>
      <c r="I10" s="35"/>
    </row>
    <row r="11" spans="1:9" ht="12.95" customHeight="1" x14ac:dyDescent="0.2">
      <c r="A11" s="46"/>
      <c r="B11" s="34" t="s">
        <v>165</v>
      </c>
      <c r="C11" s="13"/>
      <c r="D11" s="1"/>
      <c r="E11" s="13"/>
      <c r="F11" s="10">
        <v>39979.46</v>
      </c>
      <c r="G11" s="11">
        <v>7.7299999999999994E-2</v>
      </c>
      <c r="H11" s="12"/>
      <c r="I11" s="35"/>
    </row>
    <row r="12" spans="1:9" ht="12.95" customHeight="1" x14ac:dyDescent="0.2">
      <c r="A12" s="46"/>
      <c r="B12" s="31" t="s">
        <v>194</v>
      </c>
      <c r="C12" s="4"/>
      <c r="D12" s="4"/>
      <c r="E12" s="4"/>
      <c r="F12" s="4"/>
      <c r="G12" s="4"/>
      <c r="H12" s="49"/>
      <c r="I12" s="50"/>
    </row>
    <row r="13" spans="1:9" ht="12.95" customHeight="1" x14ac:dyDescent="0.2">
      <c r="A13" s="46"/>
      <c r="B13" s="31" t="s">
        <v>195</v>
      </c>
      <c r="C13" s="4"/>
      <c r="D13" s="4"/>
      <c r="E13" s="4"/>
      <c r="F13" s="51"/>
      <c r="G13" s="49"/>
      <c r="H13" s="49"/>
      <c r="I13" s="50"/>
    </row>
    <row r="14" spans="1:9" ht="12.95" customHeight="1" x14ac:dyDescent="0.2">
      <c r="A14" s="5" t="s">
        <v>360</v>
      </c>
      <c r="B14" s="32" t="s">
        <v>1258</v>
      </c>
      <c r="C14" s="4" t="s">
        <v>361</v>
      </c>
      <c r="D14" s="4" t="s">
        <v>1257</v>
      </c>
      <c r="E14" s="6">
        <v>6000</v>
      </c>
      <c r="F14" s="7">
        <v>29540.43</v>
      </c>
      <c r="G14" s="8">
        <v>5.7099999999999998E-2</v>
      </c>
      <c r="H14" s="14">
        <v>7.3747999999999994E-2</v>
      </c>
      <c r="I14" s="33"/>
    </row>
    <row r="15" spans="1:9" ht="12.95" customHeight="1" x14ac:dyDescent="0.2">
      <c r="A15" s="5" t="s">
        <v>362</v>
      </c>
      <c r="B15" s="32" t="s">
        <v>1259</v>
      </c>
      <c r="C15" s="4" t="s">
        <v>363</v>
      </c>
      <c r="D15" s="4" t="s">
        <v>198</v>
      </c>
      <c r="E15" s="6">
        <v>4500</v>
      </c>
      <c r="F15" s="7">
        <v>22182.01</v>
      </c>
      <c r="G15" s="8">
        <v>4.2900000000000001E-2</v>
      </c>
      <c r="H15" s="14">
        <v>7.3700000000000002E-2</v>
      </c>
      <c r="I15" s="33"/>
    </row>
    <row r="16" spans="1:9" ht="12.95" customHeight="1" x14ac:dyDescent="0.2">
      <c r="A16" s="5" t="s">
        <v>364</v>
      </c>
      <c r="B16" s="32" t="s">
        <v>1260</v>
      </c>
      <c r="C16" s="4" t="s">
        <v>365</v>
      </c>
      <c r="D16" s="4" t="s">
        <v>252</v>
      </c>
      <c r="E16" s="6">
        <v>4000</v>
      </c>
      <c r="F16" s="7">
        <v>19729.38</v>
      </c>
      <c r="G16" s="8">
        <v>3.8199999999999998E-2</v>
      </c>
      <c r="H16" s="14">
        <v>7.3625999999999997E-2</v>
      </c>
      <c r="I16" s="33"/>
    </row>
    <row r="17" spans="1:9" ht="12.95" customHeight="1" x14ac:dyDescent="0.2">
      <c r="A17" s="5" t="s">
        <v>366</v>
      </c>
      <c r="B17" s="32" t="s">
        <v>1261</v>
      </c>
      <c r="C17" s="4" t="s">
        <v>367</v>
      </c>
      <c r="D17" s="4" t="s">
        <v>198</v>
      </c>
      <c r="E17" s="6">
        <v>4000</v>
      </c>
      <c r="F17" s="7">
        <v>19717.52</v>
      </c>
      <c r="G17" s="8">
        <v>3.8100000000000002E-2</v>
      </c>
      <c r="H17" s="14">
        <v>7.3649999999999993E-2</v>
      </c>
      <c r="I17" s="33"/>
    </row>
    <row r="18" spans="1:9" ht="12.95" customHeight="1" x14ac:dyDescent="0.2">
      <c r="A18" s="5" t="s">
        <v>250</v>
      </c>
      <c r="B18" s="32" t="s">
        <v>1400</v>
      </c>
      <c r="C18" s="4" t="s">
        <v>251</v>
      </c>
      <c r="D18" s="4" t="s">
        <v>252</v>
      </c>
      <c r="E18" s="6">
        <v>4000</v>
      </c>
      <c r="F18" s="7">
        <v>19715.5</v>
      </c>
      <c r="G18" s="8">
        <v>3.8100000000000002E-2</v>
      </c>
      <c r="H18" s="14">
        <v>7.3152999999999996E-2</v>
      </c>
      <c r="I18" s="33"/>
    </row>
    <row r="19" spans="1:9" ht="12.95" customHeight="1" x14ac:dyDescent="0.2">
      <c r="A19" s="5" t="s">
        <v>222</v>
      </c>
      <c r="B19" s="32" t="s">
        <v>1202</v>
      </c>
      <c r="C19" s="4" t="s">
        <v>223</v>
      </c>
      <c r="D19" s="4" t="s">
        <v>207</v>
      </c>
      <c r="E19" s="6">
        <v>3000</v>
      </c>
      <c r="F19" s="7">
        <v>14784.78</v>
      </c>
      <c r="G19" s="8">
        <v>2.86E-2</v>
      </c>
      <c r="H19" s="14">
        <v>7.3798000000000002E-2</v>
      </c>
      <c r="I19" s="33"/>
    </row>
    <row r="20" spans="1:9" ht="12.95" customHeight="1" x14ac:dyDescent="0.2">
      <c r="A20" s="5" t="s">
        <v>368</v>
      </c>
      <c r="B20" s="32" t="s">
        <v>1262</v>
      </c>
      <c r="C20" s="4" t="s">
        <v>369</v>
      </c>
      <c r="D20" s="4" t="s">
        <v>198</v>
      </c>
      <c r="E20" s="6">
        <v>3000</v>
      </c>
      <c r="F20" s="7">
        <v>14752.43</v>
      </c>
      <c r="G20" s="8">
        <v>2.8500000000000001E-2</v>
      </c>
      <c r="H20" s="14">
        <v>7.3800000000000004E-2</v>
      </c>
      <c r="I20" s="33"/>
    </row>
    <row r="21" spans="1:9" ht="12.95" customHeight="1" x14ac:dyDescent="0.2">
      <c r="A21" s="5" t="s">
        <v>370</v>
      </c>
      <c r="B21" s="32" t="s">
        <v>1405</v>
      </c>
      <c r="C21" s="4" t="s">
        <v>371</v>
      </c>
      <c r="D21" s="4" t="s">
        <v>252</v>
      </c>
      <c r="E21" s="6">
        <v>2500</v>
      </c>
      <c r="F21" s="7">
        <v>12338.5</v>
      </c>
      <c r="G21" s="8">
        <v>2.3900000000000001E-2</v>
      </c>
      <c r="H21" s="14">
        <v>7.3498999999999995E-2</v>
      </c>
      <c r="I21" s="33"/>
    </row>
    <row r="22" spans="1:9" ht="12.95" customHeight="1" x14ac:dyDescent="0.2">
      <c r="A22" s="5" t="s">
        <v>372</v>
      </c>
      <c r="B22" s="32" t="s">
        <v>1263</v>
      </c>
      <c r="C22" s="4" t="s">
        <v>373</v>
      </c>
      <c r="D22" s="4" t="s">
        <v>198</v>
      </c>
      <c r="E22" s="6">
        <v>2000</v>
      </c>
      <c r="F22" s="7">
        <v>9880.25</v>
      </c>
      <c r="G22" s="8">
        <v>1.9099999999999999E-2</v>
      </c>
      <c r="H22" s="14">
        <v>7.9000000000000001E-2</v>
      </c>
      <c r="I22" s="33"/>
    </row>
    <row r="23" spans="1:9" ht="12.95" customHeight="1" x14ac:dyDescent="0.2">
      <c r="A23" s="5" t="s">
        <v>374</v>
      </c>
      <c r="B23" s="32" t="s">
        <v>1264</v>
      </c>
      <c r="C23" s="4" t="s">
        <v>375</v>
      </c>
      <c r="D23" s="4" t="s">
        <v>207</v>
      </c>
      <c r="E23" s="6">
        <v>2000</v>
      </c>
      <c r="F23" s="7">
        <v>9874.23</v>
      </c>
      <c r="G23" s="8">
        <v>1.9099999999999999E-2</v>
      </c>
      <c r="H23" s="14">
        <v>7.3798000000000002E-2</v>
      </c>
      <c r="I23" s="33"/>
    </row>
    <row r="24" spans="1:9" ht="12.95" customHeight="1" x14ac:dyDescent="0.2">
      <c r="A24" s="5" t="s">
        <v>203</v>
      </c>
      <c r="B24" s="32" t="s">
        <v>1195</v>
      </c>
      <c r="C24" s="4" t="s">
        <v>204</v>
      </c>
      <c r="D24" s="4" t="s">
        <v>198</v>
      </c>
      <c r="E24" s="6">
        <v>2000</v>
      </c>
      <c r="F24" s="7">
        <v>9856.7999999999993</v>
      </c>
      <c r="G24" s="8">
        <v>1.9099999999999999E-2</v>
      </c>
      <c r="H24" s="14">
        <v>7.3649000000000006E-2</v>
      </c>
      <c r="I24" s="33"/>
    </row>
    <row r="25" spans="1:9" ht="12.95" customHeight="1" x14ac:dyDescent="0.2">
      <c r="A25" s="5" t="s">
        <v>376</v>
      </c>
      <c r="B25" s="32" t="s">
        <v>1265</v>
      </c>
      <c r="C25" s="4" t="s">
        <v>377</v>
      </c>
      <c r="D25" s="4" t="s">
        <v>198</v>
      </c>
      <c r="E25" s="6">
        <v>2000</v>
      </c>
      <c r="F25" s="7">
        <v>9842.68</v>
      </c>
      <c r="G25" s="8">
        <v>1.9E-2</v>
      </c>
      <c r="H25" s="14">
        <v>7.3849999999999999E-2</v>
      </c>
      <c r="I25" s="33"/>
    </row>
    <row r="26" spans="1:9" ht="12.95" customHeight="1" x14ac:dyDescent="0.2">
      <c r="A26" s="5" t="s">
        <v>378</v>
      </c>
      <c r="B26" s="32" t="s">
        <v>1266</v>
      </c>
      <c r="C26" s="4" t="s">
        <v>379</v>
      </c>
      <c r="D26" s="4" t="s">
        <v>198</v>
      </c>
      <c r="E26" s="6">
        <v>1500</v>
      </c>
      <c r="F26" s="7">
        <v>7413.11</v>
      </c>
      <c r="G26" s="8">
        <v>1.43E-2</v>
      </c>
      <c r="H26" s="14">
        <v>7.9227000000000006E-2</v>
      </c>
      <c r="I26" s="33"/>
    </row>
    <row r="27" spans="1:9" ht="12.95" customHeight="1" x14ac:dyDescent="0.2">
      <c r="A27" s="5" t="s">
        <v>380</v>
      </c>
      <c r="B27" s="32" t="s">
        <v>1267</v>
      </c>
      <c r="C27" s="4" t="s">
        <v>381</v>
      </c>
      <c r="D27" s="4" t="s">
        <v>207</v>
      </c>
      <c r="E27" s="6">
        <v>1500</v>
      </c>
      <c r="F27" s="7">
        <v>7382.09</v>
      </c>
      <c r="G27" s="8">
        <v>1.43E-2</v>
      </c>
      <c r="H27" s="14">
        <v>7.3800000000000004E-2</v>
      </c>
      <c r="I27" s="33"/>
    </row>
    <row r="28" spans="1:9" ht="12.95" customHeight="1" x14ac:dyDescent="0.2">
      <c r="A28" s="5" t="s">
        <v>382</v>
      </c>
      <c r="B28" s="32" t="s">
        <v>1268</v>
      </c>
      <c r="C28" s="4" t="s">
        <v>383</v>
      </c>
      <c r="D28" s="4" t="s">
        <v>198</v>
      </c>
      <c r="E28" s="6">
        <v>1500</v>
      </c>
      <c r="F28" s="7">
        <v>7374.75</v>
      </c>
      <c r="G28" s="8">
        <v>1.43E-2</v>
      </c>
      <c r="H28" s="14">
        <v>7.3800000000000004E-2</v>
      </c>
      <c r="I28" s="33"/>
    </row>
    <row r="29" spans="1:9" ht="12.95" customHeight="1" x14ac:dyDescent="0.2">
      <c r="A29" s="5" t="s">
        <v>248</v>
      </c>
      <c r="B29" s="32" t="s">
        <v>1399</v>
      </c>
      <c r="C29" s="4" t="s">
        <v>249</v>
      </c>
      <c r="D29" s="4" t="s">
        <v>198</v>
      </c>
      <c r="E29" s="6">
        <v>1000</v>
      </c>
      <c r="F29" s="7">
        <v>4962.26</v>
      </c>
      <c r="G29" s="8">
        <v>9.5999999999999992E-3</v>
      </c>
      <c r="H29" s="14">
        <v>7.9326999999999995E-2</v>
      </c>
      <c r="I29" s="33"/>
    </row>
    <row r="30" spans="1:9" ht="12.95" customHeight="1" x14ac:dyDescent="0.2">
      <c r="A30" s="5" t="s">
        <v>384</v>
      </c>
      <c r="B30" s="32" t="s">
        <v>1269</v>
      </c>
      <c r="C30" s="4" t="s">
        <v>385</v>
      </c>
      <c r="D30" s="4" t="s">
        <v>198</v>
      </c>
      <c r="E30" s="6">
        <v>1000</v>
      </c>
      <c r="F30" s="7">
        <v>4954.72</v>
      </c>
      <c r="G30" s="8">
        <v>9.5999999999999992E-3</v>
      </c>
      <c r="H30" s="14">
        <v>7.9424999999999996E-2</v>
      </c>
      <c r="I30" s="33"/>
    </row>
    <row r="31" spans="1:9" ht="12.95" customHeight="1" x14ac:dyDescent="0.2">
      <c r="A31" s="5" t="s">
        <v>386</v>
      </c>
      <c r="B31" s="32" t="s">
        <v>1270</v>
      </c>
      <c r="C31" s="4" t="s">
        <v>387</v>
      </c>
      <c r="D31" s="4" t="s">
        <v>207</v>
      </c>
      <c r="E31" s="6">
        <v>1000</v>
      </c>
      <c r="F31" s="7">
        <v>4941.1499999999996</v>
      </c>
      <c r="G31" s="8">
        <v>9.5999999999999992E-3</v>
      </c>
      <c r="H31" s="14">
        <v>7.9049999999999995E-2</v>
      </c>
      <c r="I31" s="33"/>
    </row>
    <row r="32" spans="1:9" ht="12.95" customHeight="1" x14ac:dyDescent="0.2">
      <c r="A32" s="5" t="s">
        <v>388</v>
      </c>
      <c r="B32" s="32" t="s">
        <v>1271</v>
      </c>
      <c r="C32" s="4" t="s">
        <v>389</v>
      </c>
      <c r="D32" s="4" t="s">
        <v>207</v>
      </c>
      <c r="E32" s="6">
        <v>1000</v>
      </c>
      <c r="F32" s="7">
        <v>4917.4799999999996</v>
      </c>
      <c r="G32" s="8">
        <v>9.4999999999999998E-3</v>
      </c>
      <c r="H32" s="14">
        <v>7.3800000000000004E-2</v>
      </c>
      <c r="I32" s="33"/>
    </row>
    <row r="33" spans="1:9" ht="12.95" customHeight="1" x14ac:dyDescent="0.2">
      <c r="A33" s="5" t="s">
        <v>390</v>
      </c>
      <c r="B33" s="32" t="s">
        <v>1272</v>
      </c>
      <c r="C33" s="4" t="s">
        <v>391</v>
      </c>
      <c r="D33" s="4" t="s">
        <v>207</v>
      </c>
      <c r="E33" s="6">
        <v>500</v>
      </c>
      <c r="F33" s="7">
        <v>2469.54</v>
      </c>
      <c r="G33" s="8">
        <v>4.7999999999999996E-3</v>
      </c>
      <c r="H33" s="14">
        <v>7.3800000000000004E-2</v>
      </c>
      <c r="I33" s="33"/>
    </row>
    <row r="34" spans="1:9" ht="12.95" customHeight="1" x14ac:dyDescent="0.2">
      <c r="A34" s="5" t="s">
        <v>295</v>
      </c>
      <c r="B34" s="32" t="s">
        <v>1232</v>
      </c>
      <c r="C34" s="4" t="s">
        <v>296</v>
      </c>
      <c r="D34" s="4" t="s">
        <v>252</v>
      </c>
      <c r="E34" s="6">
        <v>500</v>
      </c>
      <c r="F34" s="7">
        <v>2468.02</v>
      </c>
      <c r="G34" s="8">
        <v>4.7999999999999996E-3</v>
      </c>
      <c r="H34" s="14">
        <v>7.3897000000000004E-2</v>
      </c>
      <c r="I34" s="33"/>
    </row>
    <row r="35" spans="1:9" ht="12.95" customHeight="1" x14ac:dyDescent="0.2">
      <c r="A35" s="5" t="s">
        <v>392</v>
      </c>
      <c r="B35" s="32" t="s">
        <v>1406</v>
      </c>
      <c r="C35" s="4" t="s">
        <v>393</v>
      </c>
      <c r="D35" s="4" t="s">
        <v>198</v>
      </c>
      <c r="E35" s="6">
        <v>300</v>
      </c>
      <c r="F35" s="7">
        <v>1478.65</v>
      </c>
      <c r="G35" s="8">
        <v>2.8999999999999998E-3</v>
      </c>
      <c r="H35" s="14">
        <v>7.3185E-2</v>
      </c>
      <c r="I35" s="33"/>
    </row>
    <row r="36" spans="1:9" ht="12.95" customHeight="1" x14ac:dyDescent="0.2">
      <c r="A36" s="46"/>
      <c r="B36" s="34" t="s">
        <v>128</v>
      </c>
      <c r="C36" s="1"/>
      <c r="D36" s="1"/>
      <c r="E36" s="1"/>
      <c r="F36" s="10">
        <v>240576.28</v>
      </c>
      <c r="G36" s="11">
        <v>0.46539999999999998</v>
      </c>
      <c r="H36" s="12"/>
      <c r="I36" s="35"/>
    </row>
    <row r="37" spans="1:9" ht="12.95" customHeight="1" x14ac:dyDescent="0.2">
      <c r="A37" s="46"/>
      <c r="B37" s="31" t="s">
        <v>301</v>
      </c>
      <c r="C37" s="4"/>
      <c r="D37" s="4"/>
      <c r="E37" s="4"/>
      <c r="F37" s="51"/>
      <c r="G37" s="49"/>
      <c r="H37" s="49"/>
      <c r="I37" s="50"/>
    </row>
    <row r="38" spans="1:9" ht="12.95" customHeight="1" x14ac:dyDescent="0.2">
      <c r="A38" s="5" t="s">
        <v>394</v>
      </c>
      <c r="B38" s="32" t="s">
        <v>1275</v>
      </c>
      <c r="C38" s="4" t="s">
        <v>395</v>
      </c>
      <c r="D38" s="4" t="s">
        <v>198</v>
      </c>
      <c r="E38" s="6">
        <v>5000</v>
      </c>
      <c r="F38" s="7">
        <v>24591.5</v>
      </c>
      <c r="G38" s="8">
        <v>4.7600000000000003E-2</v>
      </c>
      <c r="H38" s="14">
        <v>7.6751E-2</v>
      </c>
      <c r="I38" s="33"/>
    </row>
    <row r="39" spans="1:9" ht="12.95" customHeight="1" x14ac:dyDescent="0.2">
      <c r="A39" s="5" t="s">
        <v>396</v>
      </c>
      <c r="B39" s="32" t="s">
        <v>1276</v>
      </c>
      <c r="C39" s="4" t="s">
        <v>397</v>
      </c>
      <c r="D39" s="4" t="s">
        <v>198</v>
      </c>
      <c r="E39" s="6">
        <v>5000</v>
      </c>
      <c r="F39" s="7">
        <v>24580.5</v>
      </c>
      <c r="G39" s="8">
        <v>4.7500000000000001E-2</v>
      </c>
      <c r="H39" s="14">
        <v>7.5051000000000007E-2</v>
      </c>
      <c r="I39" s="33"/>
    </row>
    <row r="40" spans="1:9" ht="12.95" customHeight="1" x14ac:dyDescent="0.2">
      <c r="A40" s="5" t="s">
        <v>398</v>
      </c>
      <c r="B40" s="32" t="s">
        <v>1407</v>
      </c>
      <c r="C40" s="4" t="s">
        <v>399</v>
      </c>
      <c r="D40" s="4" t="s">
        <v>198</v>
      </c>
      <c r="E40" s="6">
        <v>4000</v>
      </c>
      <c r="F40" s="7">
        <v>19942.62</v>
      </c>
      <c r="G40" s="8">
        <v>3.8600000000000002E-2</v>
      </c>
      <c r="H40" s="14">
        <v>7.5001999999999999E-2</v>
      </c>
      <c r="I40" s="33"/>
    </row>
    <row r="41" spans="1:9" ht="12.95" customHeight="1" x14ac:dyDescent="0.2">
      <c r="A41" s="5" t="s">
        <v>400</v>
      </c>
      <c r="B41" s="32" t="s">
        <v>1277</v>
      </c>
      <c r="C41" s="4" t="s">
        <v>401</v>
      </c>
      <c r="D41" s="4" t="s">
        <v>198</v>
      </c>
      <c r="E41" s="6">
        <v>4000</v>
      </c>
      <c r="F41" s="7">
        <v>19718.02</v>
      </c>
      <c r="G41" s="8">
        <v>3.8100000000000002E-2</v>
      </c>
      <c r="H41" s="14">
        <v>7.5650999999999996E-2</v>
      </c>
      <c r="I41" s="33"/>
    </row>
    <row r="42" spans="1:9" ht="12.95" customHeight="1" x14ac:dyDescent="0.2">
      <c r="A42" s="5" t="s">
        <v>402</v>
      </c>
      <c r="B42" s="32" t="s">
        <v>1278</v>
      </c>
      <c r="C42" s="4" t="s">
        <v>403</v>
      </c>
      <c r="D42" s="4" t="s">
        <v>198</v>
      </c>
      <c r="E42" s="6">
        <v>3000</v>
      </c>
      <c r="F42" s="7">
        <v>14798.42</v>
      </c>
      <c r="G42" s="8">
        <v>2.86E-2</v>
      </c>
      <c r="H42" s="14">
        <v>7.6493000000000005E-2</v>
      </c>
      <c r="I42" s="33"/>
    </row>
    <row r="43" spans="1:9" ht="12.95" customHeight="1" x14ac:dyDescent="0.2">
      <c r="A43" s="5" t="s">
        <v>404</v>
      </c>
      <c r="B43" s="32" t="s">
        <v>1279</v>
      </c>
      <c r="C43" s="4" t="s">
        <v>405</v>
      </c>
      <c r="D43" s="4" t="s">
        <v>198</v>
      </c>
      <c r="E43" s="6">
        <v>3000</v>
      </c>
      <c r="F43" s="7">
        <v>14763.92</v>
      </c>
      <c r="G43" s="8">
        <v>2.86E-2</v>
      </c>
      <c r="H43" s="14">
        <v>7.5801999999999994E-2</v>
      </c>
      <c r="I43" s="33"/>
    </row>
    <row r="44" spans="1:9" ht="12.95" customHeight="1" x14ac:dyDescent="0.2">
      <c r="A44" s="5" t="s">
        <v>318</v>
      </c>
      <c r="B44" s="32" t="s">
        <v>1242</v>
      </c>
      <c r="C44" s="4" t="s">
        <v>319</v>
      </c>
      <c r="D44" s="4" t="s">
        <v>198</v>
      </c>
      <c r="E44" s="6">
        <v>2000</v>
      </c>
      <c r="F44" s="7">
        <v>9879.1200000000008</v>
      </c>
      <c r="G44" s="8">
        <v>1.9099999999999999E-2</v>
      </c>
      <c r="H44" s="14">
        <v>7.9752000000000003E-2</v>
      </c>
      <c r="I44" s="33"/>
    </row>
    <row r="45" spans="1:9" ht="12.95" customHeight="1" x14ac:dyDescent="0.2">
      <c r="A45" s="5" t="s">
        <v>406</v>
      </c>
      <c r="B45" s="32" t="s">
        <v>1280</v>
      </c>
      <c r="C45" s="4" t="s">
        <v>407</v>
      </c>
      <c r="D45" s="4" t="s">
        <v>207</v>
      </c>
      <c r="E45" s="6">
        <v>2000</v>
      </c>
      <c r="F45" s="7">
        <v>9854.23</v>
      </c>
      <c r="G45" s="8">
        <v>1.9099999999999999E-2</v>
      </c>
      <c r="H45" s="14">
        <v>7.8251000000000001E-2</v>
      </c>
      <c r="I45" s="33"/>
    </row>
    <row r="46" spans="1:9" ht="12.95" customHeight="1" x14ac:dyDescent="0.2">
      <c r="A46" s="5" t="s">
        <v>408</v>
      </c>
      <c r="B46" s="32" t="s">
        <v>1281</v>
      </c>
      <c r="C46" s="4" t="s">
        <v>409</v>
      </c>
      <c r="D46" s="4" t="s">
        <v>198</v>
      </c>
      <c r="E46" s="6">
        <v>1500</v>
      </c>
      <c r="F46" s="7">
        <v>7412.54</v>
      </c>
      <c r="G46" s="8">
        <v>1.43E-2</v>
      </c>
      <c r="H46" s="14">
        <v>7.9750000000000001E-2</v>
      </c>
      <c r="I46" s="33"/>
    </row>
    <row r="47" spans="1:9" ht="12.95" customHeight="1" x14ac:dyDescent="0.2">
      <c r="A47" s="5" t="s">
        <v>410</v>
      </c>
      <c r="B47" s="32" t="s">
        <v>1408</v>
      </c>
      <c r="C47" s="4" t="s">
        <v>411</v>
      </c>
      <c r="D47" s="4" t="s">
        <v>198</v>
      </c>
      <c r="E47" s="6">
        <v>1500</v>
      </c>
      <c r="F47" s="7">
        <v>7405.34</v>
      </c>
      <c r="G47" s="8">
        <v>1.43E-2</v>
      </c>
      <c r="H47" s="14">
        <v>7.6486999999999999E-2</v>
      </c>
      <c r="I47" s="33"/>
    </row>
    <row r="48" spans="1:9" ht="12.95" customHeight="1" x14ac:dyDescent="0.2">
      <c r="A48" s="5" t="s">
        <v>412</v>
      </c>
      <c r="B48" s="32" t="s">
        <v>1282</v>
      </c>
      <c r="C48" s="4" t="s">
        <v>413</v>
      </c>
      <c r="D48" s="4" t="s">
        <v>252</v>
      </c>
      <c r="E48" s="6">
        <v>1500</v>
      </c>
      <c r="F48" s="7">
        <v>7386.49</v>
      </c>
      <c r="G48" s="8">
        <v>1.43E-2</v>
      </c>
      <c r="H48" s="14">
        <v>7.9000000000000001E-2</v>
      </c>
      <c r="I48" s="33"/>
    </row>
    <row r="49" spans="1:9" ht="12.95" customHeight="1" x14ac:dyDescent="0.2">
      <c r="A49" s="5" t="s">
        <v>414</v>
      </c>
      <c r="B49" s="32" t="s">
        <v>1409</v>
      </c>
      <c r="C49" s="4" t="s">
        <v>415</v>
      </c>
      <c r="D49" s="4" t="s">
        <v>198</v>
      </c>
      <c r="E49" s="6">
        <v>1000</v>
      </c>
      <c r="F49" s="7">
        <v>4959.28</v>
      </c>
      <c r="G49" s="8">
        <v>9.5999999999999992E-3</v>
      </c>
      <c r="H49" s="14">
        <v>8.1004000000000007E-2</v>
      </c>
      <c r="I49" s="33"/>
    </row>
    <row r="50" spans="1:9" ht="12.95" customHeight="1" x14ac:dyDescent="0.2">
      <c r="A50" s="46"/>
      <c r="B50" s="34" t="s">
        <v>128</v>
      </c>
      <c r="C50" s="1"/>
      <c r="D50" s="1"/>
      <c r="E50" s="1"/>
      <c r="F50" s="10">
        <v>165291.98000000001</v>
      </c>
      <c r="G50" s="11">
        <v>0.31969999999999998</v>
      </c>
      <c r="H50" s="12"/>
      <c r="I50" s="35"/>
    </row>
    <row r="51" spans="1:9" ht="12.95" customHeight="1" x14ac:dyDescent="0.2">
      <c r="A51" s="46"/>
      <c r="B51" s="31" t="s">
        <v>328</v>
      </c>
      <c r="C51" s="4"/>
      <c r="D51" s="4"/>
      <c r="E51" s="4"/>
      <c r="F51" s="51"/>
      <c r="G51" s="49"/>
      <c r="H51" s="49"/>
      <c r="I51" s="50"/>
    </row>
    <row r="52" spans="1:9" ht="12.95" customHeight="1" x14ac:dyDescent="0.2">
      <c r="A52" s="5" t="s">
        <v>416</v>
      </c>
      <c r="B52" s="32" t="s">
        <v>417</v>
      </c>
      <c r="C52" s="4" t="s">
        <v>418</v>
      </c>
      <c r="D52" s="4" t="s">
        <v>332</v>
      </c>
      <c r="E52" s="6">
        <v>43000000</v>
      </c>
      <c r="F52" s="7">
        <v>42505.03</v>
      </c>
      <c r="G52" s="8">
        <v>8.2199999999999995E-2</v>
      </c>
      <c r="H52" s="14">
        <v>5.3804999999999999E-2</v>
      </c>
      <c r="I52" s="33"/>
    </row>
    <row r="53" spans="1:9" ht="12.95" customHeight="1" x14ac:dyDescent="0.2">
      <c r="A53" s="5" t="s">
        <v>419</v>
      </c>
      <c r="B53" s="32" t="s">
        <v>420</v>
      </c>
      <c r="C53" s="4" t="s">
        <v>421</v>
      </c>
      <c r="D53" s="4" t="s">
        <v>332</v>
      </c>
      <c r="E53" s="6">
        <v>16500000</v>
      </c>
      <c r="F53" s="7">
        <v>16328.68</v>
      </c>
      <c r="G53" s="8">
        <v>3.1600000000000003E-2</v>
      </c>
      <c r="H53" s="14">
        <v>5.3938E-2</v>
      </c>
      <c r="I53" s="33"/>
    </row>
    <row r="54" spans="1:9" ht="12.95" customHeight="1" x14ac:dyDescent="0.2">
      <c r="A54" s="5" t="s">
        <v>422</v>
      </c>
      <c r="B54" s="32" t="s">
        <v>423</v>
      </c>
      <c r="C54" s="4" t="s">
        <v>424</v>
      </c>
      <c r="D54" s="4" t="s">
        <v>332</v>
      </c>
      <c r="E54" s="6">
        <v>6500000</v>
      </c>
      <c r="F54" s="7">
        <v>6460.04</v>
      </c>
      <c r="G54" s="8">
        <v>1.2500000000000001E-2</v>
      </c>
      <c r="H54" s="14">
        <v>5.2499999999999998E-2</v>
      </c>
      <c r="I54" s="33"/>
    </row>
    <row r="55" spans="1:9" ht="12.95" customHeight="1" x14ac:dyDescent="0.2">
      <c r="A55" s="46"/>
      <c r="B55" s="34" t="s">
        <v>128</v>
      </c>
      <c r="C55" s="1"/>
      <c r="D55" s="1"/>
      <c r="E55" s="1"/>
      <c r="F55" s="10">
        <v>65293.75</v>
      </c>
      <c r="G55" s="11">
        <v>0.1263</v>
      </c>
      <c r="H55" s="12"/>
      <c r="I55" s="35"/>
    </row>
    <row r="56" spans="1:9" ht="12.95" customHeight="1" x14ac:dyDescent="0.2">
      <c r="A56" s="46"/>
      <c r="B56" s="34" t="s">
        <v>165</v>
      </c>
      <c r="C56" s="13"/>
      <c r="D56" s="1"/>
      <c r="E56" s="13"/>
      <c r="F56" s="10">
        <v>471162.01</v>
      </c>
      <c r="G56" s="11">
        <v>0.91139999999999999</v>
      </c>
      <c r="H56" s="12"/>
      <c r="I56" s="35"/>
    </row>
    <row r="57" spans="1:9" ht="12.95" customHeight="1" x14ac:dyDescent="0.2">
      <c r="A57" s="46"/>
      <c r="B57" s="31" t="s">
        <v>342</v>
      </c>
      <c r="C57" s="4"/>
      <c r="D57" s="4"/>
      <c r="E57" s="4"/>
      <c r="F57" s="4"/>
      <c r="G57" s="4"/>
      <c r="H57" s="49"/>
      <c r="I57" s="50"/>
    </row>
    <row r="58" spans="1:9" ht="12.95" customHeight="1" x14ac:dyDescent="0.2">
      <c r="A58" s="46"/>
      <c r="B58" s="31" t="s">
        <v>425</v>
      </c>
      <c r="C58" s="4"/>
      <c r="D58" s="4"/>
      <c r="E58" s="4"/>
      <c r="F58" s="51"/>
      <c r="G58" s="49"/>
      <c r="H58" s="49"/>
      <c r="I58" s="50"/>
    </row>
    <row r="59" spans="1:9" ht="12.95" customHeight="1" x14ac:dyDescent="0.2">
      <c r="A59" s="5" t="s">
        <v>426</v>
      </c>
      <c r="B59" s="32" t="s">
        <v>1285</v>
      </c>
      <c r="C59" s="4" t="s">
        <v>427</v>
      </c>
      <c r="D59" s="4" t="s">
        <v>183</v>
      </c>
      <c r="E59" s="6">
        <v>11425.844999999999</v>
      </c>
      <c r="F59" s="7">
        <v>1336</v>
      </c>
      <c r="G59" s="8">
        <v>2.5999999999999999E-3</v>
      </c>
      <c r="H59" s="14">
        <v>5.7200000000000001E-2</v>
      </c>
      <c r="I59" s="33"/>
    </row>
    <row r="60" spans="1:9" ht="12.95" customHeight="1" x14ac:dyDescent="0.2">
      <c r="A60" s="46"/>
      <c r="B60" s="34" t="s">
        <v>128</v>
      </c>
      <c r="C60" s="1"/>
      <c r="D60" s="1"/>
      <c r="E60" s="1"/>
      <c r="F60" s="10">
        <v>1336</v>
      </c>
      <c r="G60" s="11">
        <v>2.5999999999999999E-3</v>
      </c>
      <c r="H60" s="12"/>
      <c r="I60" s="35"/>
    </row>
    <row r="61" spans="1:9" ht="12.95" customHeight="1" x14ac:dyDescent="0.2">
      <c r="A61" s="46"/>
      <c r="B61" s="34" t="s">
        <v>165</v>
      </c>
      <c r="C61" s="13"/>
      <c r="D61" s="1"/>
      <c r="E61" s="13"/>
      <c r="F61" s="10">
        <v>1336</v>
      </c>
      <c r="G61" s="11">
        <v>2.5999999999999999E-3</v>
      </c>
      <c r="H61" s="12"/>
      <c r="I61" s="35"/>
    </row>
    <row r="62" spans="1:9" ht="12.95" customHeight="1" x14ac:dyDescent="0.2">
      <c r="A62" s="46"/>
      <c r="B62" s="31" t="s">
        <v>347</v>
      </c>
      <c r="C62" s="4"/>
      <c r="D62" s="4"/>
      <c r="E62" s="4"/>
      <c r="F62" s="4"/>
      <c r="G62" s="4"/>
      <c r="H62" s="49"/>
      <c r="I62" s="50"/>
    </row>
    <row r="63" spans="1:9" ht="12.95" customHeight="1" x14ac:dyDescent="0.2">
      <c r="A63" s="5" t="s">
        <v>349</v>
      </c>
      <c r="B63" s="32" t="s">
        <v>349</v>
      </c>
      <c r="C63" s="4"/>
      <c r="D63" s="4" t="s">
        <v>183</v>
      </c>
      <c r="E63" s="6"/>
      <c r="F63" s="7">
        <v>3579.24</v>
      </c>
      <c r="G63" s="8">
        <v>6.8999999999999999E-3</v>
      </c>
      <c r="H63" s="14">
        <v>6.6500000000000004E-2</v>
      </c>
      <c r="I63" s="33"/>
    </row>
    <row r="64" spans="1:9" ht="12.95" customHeight="1" x14ac:dyDescent="0.2">
      <c r="A64" s="5" t="s">
        <v>348</v>
      </c>
      <c r="B64" s="32" t="s">
        <v>348</v>
      </c>
      <c r="C64" s="4"/>
      <c r="D64" s="4" t="s">
        <v>183</v>
      </c>
      <c r="E64" s="6"/>
      <c r="F64" s="7">
        <v>574.91</v>
      </c>
      <c r="G64" s="8">
        <v>1.1000000000000001E-3</v>
      </c>
      <c r="H64" s="14">
        <v>5.9309313229863679E-2</v>
      </c>
      <c r="I64" s="33"/>
    </row>
    <row r="65" spans="1:9" ht="12.95" customHeight="1" x14ac:dyDescent="0.2">
      <c r="A65" s="46"/>
      <c r="B65" s="34" t="s">
        <v>128</v>
      </c>
      <c r="C65" s="1"/>
      <c r="D65" s="1"/>
      <c r="E65" s="1"/>
      <c r="F65" s="10">
        <v>4154.1499999999996</v>
      </c>
      <c r="G65" s="11">
        <v>8.0000000000000002E-3</v>
      </c>
      <c r="H65" s="12"/>
      <c r="I65" s="35"/>
    </row>
    <row r="66" spans="1:9" ht="12.95" customHeight="1" x14ac:dyDescent="0.2">
      <c r="A66" s="46"/>
      <c r="B66" s="34" t="s">
        <v>359</v>
      </c>
      <c r="C66" s="1"/>
      <c r="D66" s="1"/>
      <c r="E66" s="1"/>
      <c r="F66" s="12" t="s">
        <v>164</v>
      </c>
      <c r="G66" s="12" t="s">
        <v>164</v>
      </c>
      <c r="H66" s="12"/>
      <c r="I66" s="35"/>
    </row>
    <row r="67" spans="1:9" ht="12.95" customHeight="1" x14ac:dyDescent="0.2">
      <c r="A67" s="46"/>
      <c r="B67" s="34" t="s">
        <v>128</v>
      </c>
      <c r="C67" s="1"/>
      <c r="D67" s="1"/>
      <c r="E67" s="1"/>
      <c r="F67" s="12" t="s">
        <v>164</v>
      </c>
      <c r="G67" s="12" t="s">
        <v>164</v>
      </c>
      <c r="H67" s="12"/>
      <c r="I67" s="35"/>
    </row>
    <row r="68" spans="1:9" ht="12.95" customHeight="1" x14ac:dyDescent="0.2">
      <c r="A68" s="46"/>
      <c r="B68" s="34" t="s">
        <v>165</v>
      </c>
      <c r="C68" s="13"/>
      <c r="D68" s="1"/>
      <c r="E68" s="13"/>
      <c r="F68" s="10">
        <v>4154.1499999999996</v>
      </c>
      <c r="G68" s="11">
        <v>8.0000000000000002E-3</v>
      </c>
      <c r="H68" s="12"/>
      <c r="I68" s="35"/>
    </row>
    <row r="69" spans="1:9" ht="12.95" customHeight="1" x14ac:dyDescent="0.2">
      <c r="A69" s="46"/>
      <c r="B69" s="34" t="s">
        <v>350</v>
      </c>
      <c r="C69" s="4"/>
      <c r="D69" s="1"/>
      <c r="E69" s="4"/>
      <c r="F69" s="15">
        <v>461.79</v>
      </c>
      <c r="G69" s="11">
        <v>6.9999999999999999E-4</v>
      </c>
      <c r="H69" s="12"/>
      <c r="I69" s="35"/>
    </row>
    <row r="70" spans="1:9" ht="12.95" customHeight="1" x14ac:dyDescent="0.2">
      <c r="A70" s="46"/>
      <c r="B70" s="36" t="s">
        <v>351</v>
      </c>
      <c r="C70" s="23"/>
      <c r="D70" s="23"/>
      <c r="E70" s="23"/>
      <c r="F70" s="24">
        <v>517093.41</v>
      </c>
      <c r="G70" s="25">
        <v>1</v>
      </c>
      <c r="H70" s="26"/>
      <c r="I70" s="37"/>
    </row>
    <row r="71" spans="1:9" ht="12.95" customHeight="1" x14ac:dyDescent="0.2">
      <c r="A71" s="46"/>
      <c r="B71" s="3"/>
      <c r="C71" s="46"/>
      <c r="D71" s="46"/>
      <c r="E71" s="46"/>
      <c r="F71" s="46"/>
      <c r="G71" s="46"/>
      <c r="H71" s="46"/>
      <c r="I71" s="46"/>
    </row>
    <row r="72" spans="1:9" x14ac:dyDescent="0.2">
      <c r="B72" s="47" t="s">
        <v>1252</v>
      </c>
    </row>
    <row r="73" spans="1:9" x14ac:dyDescent="0.2">
      <c r="B73" s="47" t="s">
        <v>1254</v>
      </c>
    </row>
    <row r="74" spans="1:9" x14ac:dyDescent="0.2">
      <c r="B74" s="47" t="s">
        <v>1255</v>
      </c>
    </row>
    <row r="76" spans="1:9" x14ac:dyDescent="0.2">
      <c r="B76" s="137" t="s">
        <v>1420</v>
      </c>
      <c r="C76" s="138"/>
      <c r="D76" s="139"/>
      <c r="E76" s="60"/>
      <c r="F76" s="140"/>
    </row>
    <row r="77" spans="1:9" x14ac:dyDescent="0.2">
      <c r="B77" s="141" t="s">
        <v>1421</v>
      </c>
      <c r="C77" s="75"/>
      <c r="D77" s="69"/>
      <c r="E77" s="69"/>
      <c r="F77" s="142"/>
    </row>
    <row r="78" spans="1:9" ht="48" x14ac:dyDescent="0.2">
      <c r="B78" s="473" t="s">
        <v>1422</v>
      </c>
      <c r="C78" s="474" t="s">
        <v>1423</v>
      </c>
      <c r="D78" s="145" t="s">
        <v>1424</v>
      </c>
      <c r="E78" s="145" t="s">
        <v>1424</v>
      </c>
      <c r="F78" s="145" t="s">
        <v>1425</v>
      </c>
    </row>
    <row r="79" spans="1:9" x14ac:dyDescent="0.2">
      <c r="B79" s="473"/>
      <c r="C79" s="474"/>
      <c r="D79" s="145" t="s">
        <v>1426</v>
      </c>
      <c r="E79" s="145" t="s">
        <v>1427</v>
      </c>
      <c r="F79" s="145" t="s">
        <v>1426</v>
      </c>
    </row>
    <row r="80" spans="1:9" x14ac:dyDescent="0.2">
      <c r="B80" s="143" t="s">
        <v>164</v>
      </c>
      <c r="C80" s="143" t="s">
        <v>164</v>
      </c>
      <c r="D80" s="143" t="s">
        <v>164</v>
      </c>
      <c r="E80" s="143" t="s">
        <v>164</v>
      </c>
      <c r="F80" s="143" t="s">
        <v>164</v>
      </c>
    </row>
    <row r="81" spans="2:6" x14ac:dyDescent="0.2">
      <c r="B81" s="149"/>
      <c r="C81" s="75"/>
      <c r="D81" s="75"/>
      <c r="E81" s="75"/>
      <c r="F81" s="142"/>
    </row>
    <row r="82" spans="2:6" x14ac:dyDescent="0.2">
      <c r="B82" s="149" t="s">
        <v>1493</v>
      </c>
      <c r="C82" s="75"/>
      <c r="D82" s="75"/>
      <c r="E82" s="75"/>
      <c r="F82" s="142"/>
    </row>
    <row r="83" spans="2:6" x14ac:dyDescent="0.2">
      <c r="B83" s="150" t="s">
        <v>1494</v>
      </c>
      <c r="C83" s="74">
        <v>46081</v>
      </c>
      <c r="D83" s="74">
        <v>46112</v>
      </c>
      <c r="E83" s="151"/>
      <c r="F83" s="142"/>
    </row>
    <row r="84" spans="2:6" x14ac:dyDescent="0.2">
      <c r="B84" s="150" t="s">
        <v>1495</v>
      </c>
      <c r="C84" s="150"/>
      <c r="D84" s="150"/>
      <c r="E84" s="75"/>
      <c r="F84" s="142"/>
    </row>
    <row r="85" spans="2:6" x14ac:dyDescent="0.2">
      <c r="B85" s="150" t="s">
        <v>1496</v>
      </c>
      <c r="C85" s="76">
        <v>1515.9602</v>
      </c>
      <c r="D85" s="76">
        <v>1523.4586999999999</v>
      </c>
      <c r="E85" s="75"/>
      <c r="F85" s="152"/>
    </row>
    <row r="86" spans="2:6" x14ac:dyDescent="0.2">
      <c r="B86" s="150" t="s">
        <v>1497</v>
      </c>
      <c r="C86" s="76">
        <v>1000.5405</v>
      </c>
      <c r="D86" s="76">
        <v>1000.5405</v>
      </c>
      <c r="E86" s="75"/>
      <c r="F86" s="153"/>
    </row>
    <row r="87" spans="2:6" x14ac:dyDescent="0.2">
      <c r="B87" s="150" t="s">
        <v>1498</v>
      </c>
      <c r="C87" s="76">
        <v>1001.7811</v>
      </c>
      <c r="D87" s="76">
        <v>1001.1836</v>
      </c>
      <c r="E87" s="75"/>
      <c r="F87" s="152"/>
    </row>
    <row r="88" spans="2:6" x14ac:dyDescent="0.2">
      <c r="B88" s="150" t="s">
        <v>1499</v>
      </c>
      <c r="C88" s="76">
        <v>1003.7825</v>
      </c>
      <c r="D88" s="76">
        <v>1003.1837</v>
      </c>
      <c r="E88" s="75"/>
      <c r="F88" s="153"/>
    </row>
    <row r="89" spans="2:6" x14ac:dyDescent="0.2">
      <c r="B89" s="150" t="s">
        <v>1500</v>
      </c>
      <c r="C89" s="76"/>
      <c r="D89" s="76"/>
      <c r="E89" s="75"/>
      <c r="F89" s="152"/>
    </row>
    <row r="90" spans="2:6" x14ac:dyDescent="0.2">
      <c r="B90" s="150" t="s">
        <v>1501</v>
      </c>
      <c r="C90" s="76">
        <v>1504.0554999999999</v>
      </c>
      <c r="D90" s="76">
        <v>1511.3671999999999</v>
      </c>
      <c r="E90" s="75"/>
      <c r="F90" s="153"/>
    </row>
    <row r="91" spans="2:6" x14ac:dyDescent="0.2">
      <c r="B91" s="150" t="s">
        <v>1502</v>
      </c>
      <c r="C91" s="76">
        <v>1000.5404</v>
      </c>
      <c r="D91" s="76">
        <v>1000.5404</v>
      </c>
      <c r="E91" s="75"/>
      <c r="F91" s="152"/>
    </row>
    <row r="92" spans="2:6" x14ac:dyDescent="0.2">
      <c r="B92" s="150" t="s">
        <v>1503</v>
      </c>
      <c r="C92" s="76">
        <v>1001.7671</v>
      </c>
      <c r="D92" s="76">
        <v>1001.1807</v>
      </c>
      <c r="E92" s="75"/>
      <c r="F92" s="153"/>
    </row>
    <row r="93" spans="2:6" x14ac:dyDescent="0.2">
      <c r="B93" s="150" t="s">
        <v>1504</v>
      </c>
      <c r="C93" s="76">
        <v>1003.7687</v>
      </c>
      <c r="D93" s="76">
        <v>1003.1808</v>
      </c>
      <c r="E93" s="75"/>
      <c r="F93" s="142"/>
    </row>
    <row r="94" spans="2:6" x14ac:dyDescent="0.2">
      <c r="B94" s="141"/>
      <c r="C94" s="75"/>
      <c r="D94" s="75"/>
      <c r="E94" s="75"/>
      <c r="F94" s="142"/>
    </row>
    <row r="95" spans="2:6" x14ac:dyDescent="0.2">
      <c r="B95" s="149" t="s">
        <v>1656</v>
      </c>
      <c r="C95" s="154"/>
      <c r="D95" s="154"/>
      <c r="E95" s="154"/>
      <c r="F95" s="142"/>
    </row>
    <row r="96" spans="2:6" x14ac:dyDescent="0.2">
      <c r="B96" s="149"/>
      <c r="C96" s="154"/>
      <c r="D96" s="154"/>
      <c r="E96" s="154"/>
      <c r="F96" s="142"/>
    </row>
    <row r="97" spans="2:6" ht="24" x14ac:dyDescent="0.2">
      <c r="B97" s="155" t="s">
        <v>1505</v>
      </c>
      <c r="C97" s="156" t="s">
        <v>1506</v>
      </c>
      <c r="D97" s="156" t="s">
        <v>1718</v>
      </c>
      <c r="E97" s="156" t="s">
        <v>1727</v>
      </c>
      <c r="F97" s="157"/>
    </row>
    <row r="98" spans="2:6" ht="24" x14ac:dyDescent="0.2">
      <c r="B98" s="158" t="s">
        <v>1650</v>
      </c>
      <c r="C98" s="103" t="s">
        <v>1507</v>
      </c>
      <c r="D98" s="88">
        <v>4.94840196</v>
      </c>
      <c r="E98" s="88">
        <v>4.94840196</v>
      </c>
      <c r="F98" s="159"/>
    </row>
    <row r="99" spans="2:6" x14ac:dyDescent="0.2">
      <c r="B99" s="160"/>
      <c r="C99" s="161"/>
      <c r="D99" s="161"/>
      <c r="E99" s="161"/>
      <c r="F99" s="159"/>
    </row>
    <row r="100" spans="2:6" ht="24" x14ac:dyDescent="0.2">
      <c r="B100" s="160" t="s">
        <v>1505</v>
      </c>
      <c r="C100" s="156" t="s">
        <v>1508</v>
      </c>
      <c r="D100" s="156" t="s">
        <v>1718</v>
      </c>
      <c r="E100" s="156" t="s">
        <v>1719</v>
      </c>
      <c r="F100" s="157"/>
    </row>
    <row r="101" spans="2:6" ht="24" x14ac:dyDescent="0.2">
      <c r="B101" s="158" t="s">
        <v>1650</v>
      </c>
      <c r="C101" s="103" t="s">
        <v>1509</v>
      </c>
      <c r="D101" s="88">
        <v>4.8653006799999998</v>
      </c>
      <c r="E101" s="88">
        <v>4.8653006799999998</v>
      </c>
      <c r="F101" s="159"/>
    </row>
    <row r="102" spans="2:6" x14ac:dyDescent="0.2">
      <c r="B102" s="158"/>
      <c r="C102" s="161"/>
      <c r="D102" s="88"/>
      <c r="E102" s="88"/>
      <c r="F102" s="159"/>
    </row>
    <row r="103" spans="2:6" ht="24" x14ac:dyDescent="0.2">
      <c r="B103" s="160" t="s">
        <v>1505</v>
      </c>
      <c r="C103" s="156" t="s">
        <v>1510</v>
      </c>
      <c r="D103" s="156" t="s">
        <v>1718</v>
      </c>
      <c r="E103" s="156" t="s">
        <v>1719</v>
      </c>
      <c r="F103" s="157"/>
    </row>
    <row r="104" spans="2:6" ht="24" x14ac:dyDescent="0.2">
      <c r="B104" s="162" t="s">
        <v>1651</v>
      </c>
      <c r="C104" s="103" t="s">
        <v>1511</v>
      </c>
      <c r="D104" s="88">
        <v>1.05479988</v>
      </c>
      <c r="E104" s="88">
        <v>1.05479988</v>
      </c>
      <c r="F104" s="157"/>
    </row>
    <row r="105" spans="2:6" ht="24" x14ac:dyDescent="0.2">
      <c r="B105" s="162" t="s">
        <v>1652</v>
      </c>
      <c r="C105" s="103" t="s">
        <v>1511</v>
      </c>
      <c r="D105" s="88">
        <v>1.00760059</v>
      </c>
      <c r="E105" s="88">
        <v>1.00760059</v>
      </c>
      <c r="F105" s="157"/>
    </row>
    <row r="106" spans="2:6" ht="24" x14ac:dyDescent="0.2">
      <c r="B106" s="162" t="s">
        <v>1653</v>
      </c>
      <c r="C106" s="103" t="s">
        <v>1511</v>
      </c>
      <c r="D106" s="88">
        <v>0.89869949000000005</v>
      </c>
      <c r="E106" s="88">
        <v>0.89869949000000005</v>
      </c>
      <c r="F106" s="159"/>
    </row>
    <row r="107" spans="2:6" ht="24" x14ac:dyDescent="0.2">
      <c r="B107" s="162" t="s">
        <v>1654</v>
      </c>
      <c r="C107" s="103" t="s">
        <v>1511</v>
      </c>
      <c r="D107" s="88">
        <v>1.0418000700000001</v>
      </c>
      <c r="E107" s="88">
        <v>1.0418000700000001</v>
      </c>
      <c r="F107" s="159"/>
    </row>
    <row r="108" spans="2:6" ht="24" x14ac:dyDescent="0.2">
      <c r="B108" s="160" t="s">
        <v>1655</v>
      </c>
      <c r="C108" s="156" t="s">
        <v>1511</v>
      </c>
      <c r="D108" s="156">
        <v>1.5377996300000001</v>
      </c>
      <c r="E108" s="156">
        <v>1.5377996300000001</v>
      </c>
      <c r="F108" s="157"/>
    </row>
    <row r="109" spans="2:6" ht="24" x14ac:dyDescent="0.2">
      <c r="B109" s="162" t="s">
        <v>1505</v>
      </c>
      <c r="C109" s="103" t="s">
        <v>1512</v>
      </c>
      <c r="D109" s="109" t="s">
        <v>1718</v>
      </c>
      <c r="E109" s="109" t="s">
        <v>1719</v>
      </c>
      <c r="F109" s="157"/>
    </row>
    <row r="110" spans="2:6" ht="24" x14ac:dyDescent="0.2">
      <c r="B110" s="162" t="s">
        <v>1651</v>
      </c>
      <c r="C110" s="103" t="s">
        <v>1513</v>
      </c>
      <c r="D110" s="88">
        <v>1.03529951</v>
      </c>
      <c r="E110" s="88">
        <v>1.03529951</v>
      </c>
      <c r="F110" s="157"/>
    </row>
    <row r="111" spans="2:6" ht="24" x14ac:dyDescent="0.2">
      <c r="B111" s="162" t="s">
        <v>1652</v>
      </c>
      <c r="C111" s="103" t="s">
        <v>1513</v>
      </c>
      <c r="D111" s="88">
        <v>0.98849969999999998</v>
      </c>
      <c r="E111" s="88">
        <v>0.98849969999999998</v>
      </c>
      <c r="F111" s="159"/>
    </row>
    <row r="112" spans="2:6" ht="24" x14ac:dyDescent="0.2">
      <c r="B112" s="162" t="s">
        <v>1653</v>
      </c>
      <c r="C112" s="103" t="s">
        <v>1513</v>
      </c>
      <c r="D112" s="88">
        <v>0.87980002999999996</v>
      </c>
      <c r="E112" s="88">
        <v>0.87980002999999996</v>
      </c>
      <c r="F112" s="159"/>
    </row>
    <row r="113" spans="2:6" ht="24" x14ac:dyDescent="0.2">
      <c r="B113" s="163" t="s">
        <v>1654</v>
      </c>
      <c r="C113" s="103" t="s">
        <v>1513</v>
      </c>
      <c r="D113" s="164">
        <v>1.0223993899999999</v>
      </c>
      <c r="E113" s="164">
        <v>1.0223993899999999</v>
      </c>
      <c r="F113" s="159"/>
    </row>
    <row r="114" spans="2:6" ht="24" x14ac:dyDescent="0.2">
      <c r="B114" s="158" t="s">
        <v>1655</v>
      </c>
      <c r="C114" s="103" t="s">
        <v>1513</v>
      </c>
      <c r="D114" s="88">
        <v>1.5180992499999999</v>
      </c>
      <c r="E114" s="88">
        <v>1.5180992499999999</v>
      </c>
      <c r="F114" s="159"/>
    </row>
    <row r="115" spans="2:6" ht="24" x14ac:dyDescent="0.2">
      <c r="B115" s="158" t="s">
        <v>1505</v>
      </c>
      <c r="C115" s="165" t="s">
        <v>1514</v>
      </c>
      <c r="D115" s="156" t="s">
        <v>1718</v>
      </c>
      <c r="E115" s="156" t="s">
        <v>1719</v>
      </c>
      <c r="F115" s="159"/>
    </row>
    <row r="116" spans="2:6" ht="24" x14ac:dyDescent="0.2">
      <c r="B116" s="158" t="s">
        <v>1650</v>
      </c>
      <c r="C116" s="103" t="s">
        <v>1515</v>
      </c>
      <c r="D116" s="88">
        <v>5.5632000399999999</v>
      </c>
      <c r="E116" s="88">
        <v>5.5632000399999999</v>
      </c>
      <c r="F116" s="159"/>
    </row>
    <row r="117" spans="2:6" ht="24" x14ac:dyDescent="0.2">
      <c r="B117" s="163" t="s">
        <v>1505</v>
      </c>
      <c r="C117" s="103" t="s">
        <v>1516</v>
      </c>
      <c r="D117" s="164" t="s">
        <v>1718</v>
      </c>
      <c r="E117" s="164" t="s">
        <v>1719</v>
      </c>
      <c r="F117" s="159"/>
    </row>
    <row r="118" spans="2:6" ht="24" x14ac:dyDescent="0.2">
      <c r="B118" s="163" t="s">
        <v>1650</v>
      </c>
      <c r="C118" s="103" t="s">
        <v>1517</v>
      </c>
      <c r="D118" s="275">
        <v>5.4663002699999996</v>
      </c>
      <c r="E118" s="275">
        <v>5.4663002699999996</v>
      </c>
      <c r="F118" s="159"/>
    </row>
    <row r="119" spans="2:6" x14ac:dyDescent="0.2">
      <c r="B119" s="166"/>
      <c r="C119" s="104"/>
      <c r="D119" s="167"/>
      <c r="E119" s="167"/>
      <c r="F119" s="159"/>
    </row>
    <row r="120" spans="2:6" x14ac:dyDescent="0.2">
      <c r="B120" s="166"/>
      <c r="C120" s="104"/>
      <c r="D120" s="167"/>
      <c r="E120" s="167"/>
      <c r="F120" s="159"/>
    </row>
    <row r="121" spans="2:6" ht="26.25" customHeight="1" x14ac:dyDescent="0.2">
      <c r="B121" s="475" t="s">
        <v>1518</v>
      </c>
      <c r="C121" s="476"/>
      <c r="D121" s="476"/>
      <c r="E121" s="476"/>
      <c r="F121" s="477"/>
    </row>
    <row r="122" spans="2:6" x14ac:dyDescent="0.2">
      <c r="B122" s="168"/>
      <c r="C122" s="169"/>
      <c r="D122" s="75"/>
      <c r="E122" s="75"/>
      <c r="F122" s="142"/>
    </row>
    <row r="123" spans="2:6" x14ac:dyDescent="0.2">
      <c r="B123" s="149" t="s">
        <v>1519</v>
      </c>
      <c r="C123" s="154"/>
      <c r="D123" s="154"/>
      <c r="E123" s="154"/>
      <c r="F123" s="142"/>
    </row>
    <row r="124" spans="2:6" x14ac:dyDescent="0.2">
      <c r="B124" s="149" t="s">
        <v>1520</v>
      </c>
      <c r="C124" s="154"/>
      <c r="D124" s="154"/>
      <c r="E124" s="154"/>
      <c r="F124" s="142"/>
    </row>
    <row r="125" spans="2:6" x14ac:dyDescent="0.2">
      <c r="B125" s="149"/>
      <c r="C125" s="154"/>
      <c r="D125" s="154"/>
      <c r="E125" s="154"/>
      <c r="F125" s="142"/>
    </row>
    <row r="126" spans="2:6" x14ac:dyDescent="0.2">
      <c r="B126" s="149" t="s">
        <v>1658</v>
      </c>
      <c r="C126" s="154"/>
      <c r="D126" s="154"/>
      <c r="E126" s="154"/>
      <c r="F126" s="142"/>
    </row>
    <row r="127" spans="2:6" x14ac:dyDescent="0.2">
      <c r="B127" s="149"/>
      <c r="C127" s="154"/>
      <c r="D127" s="154"/>
      <c r="E127" s="154"/>
      <c r="F127" s="142"/>
    </row>
    <row r="128" spans="2:6" x14ac:dyDescent="0.2">
      <c r="B128" s="149" t="s">
        <v>1659</v>
      </c>
      <c r="C128" s="154"/>
      <c r="D128" s="154"/>
      <c r="E128" s="154"/>
      <c r="F128" s="142"/>
    </row>
    <row r="129" spans="2:6" x14ac:dyDescent="0.2">
      <c r="B129" s="82" t="s">
        <v>1435</v>
      </c>
      <c r="C129" s="154"/>
      <c r="D129" s="154"/>
      <c r="E129" s="154"/>
      <c r="F129" s="142"/>
    </row>
    <row r="130" spans="2:6" x14ac:dyDescent="0.2">
      <c r="B130" s="82"/>
      <c r="C130" s="154"/>
      <c r="D130" s="154"/>
      <c r="E130" s="154"/>
      <c r="F130" s="142"/>
    </row>
    <row r="131" spans="2:6" x14ac:dyDescent="0.2">
      <c r="B131" s="149" t="s">
        <v>1660</v>
      </c>
      <c r="C131" s="154"/>
      <c r="D131" s="154"/>
      <c r="E131" s="154"/>
      <c r="F131" s="142"/>
    </row>
    <row r="132" spans="2:6" x14ac:dyDescent="0.2">
      <c r="B132" s="149"/>
      <c r="C132" s="154"/>
      <c r="D132" s="154"/>
      <c r="E132" s="154"/>
      <c r="F132" s="142"/>
    </row>
    <row r="133" spans="2:6" x14ac:dyDescent="0.2">
      <c r="B133" s="149" t="s">
        <v>1661</v>
      </c>
      <c r="C133" s="154"/>
      <c r="D133" s="154"/>
      <c r="E133" s="154"/>
      <c r="F133" s="142"/>
    </row>
    <row r="134" spans="2:6" x14ac:dyDescent="0.2">
      <c r="B134" s="170"/>
      <c r="C134" s="154"/>
      <c r="D134" s="154"/>
      <c r="E134" s="154"/>
      <c r="F134" s="142"/>
    </row>
    <row r="135" spans="2:6" x14ac:dyDescent="0.2">
      <c r="B135" s="149" t="s">
        <v>1657</v>
      </c>
      <c r="C135" s="154"/>
      <c r="D135" s="154"/>
      <c r="E135" s="154"/>
      <c r="F135" s="142"/>
    </row>
    <row r="136" spans="2:6" x14ac:dyDescent="0.2">
      <c r="B136" s="149"/>
      <c r="C136" s="154"/>
      <c r="D136" s="154"/>
      <c r="E136" s="154"/>
      <c r="F136" s="142"/>
    </row>
    <row r="137" spans="2:6" x14ac:dyDescent="0.2">
      <c r="B137" s="149" t="s">
        <v>1662</v>
      </c>
      <c r="C137" s="154"/>
      <c r="D137" s="154"/>
      <c r="E137" s="154"/>
      <c r="F137" s="142"/>
    </row>
    <row r="138" spans="2:6" x14ac:dyDescent="0.2">
      <c r="B138" s="149"/>
      <c r="C138" s="154"/>
      <c r="D138" s="154"/>
      <c r="E138" s="154"/>
      <c r="F138" s="142"/>
    </row>
    <row r="139" spans="2:6" x14ac:dyDescent="0.2">
      <c r="B139" s="149" t="s">
        <v>1521</v>
      </c>
      <c r="C139" s="154"/>
      <c r="D139" s="154"/>
      <c r="F139" s="142"/>
    </row>
    <row r="140" spans="2:6" x14ac:dyDescent="0.2">
      <c r="B140" s="171" t="s">
        <v>1522</v>
      </c>
      <c r="C140" s="172">
        <v>12.629999999999999</v>
      </c>
      <c r="D140" s="154"/>
      <c r="F140" s="173"/>
    </row>
    <row r="141" spans="2:6" x14ac:dyDescent="0.2">
      <c r="B141" s="171" t="s">
        <v>1523</v>
      </c>
      <c r="C141" s="171">
        <v>0</v>
      </c>
      <c r="D141" s="154"/>
      <c r="F141" s="66"/>
    </row>
    <row r="142" spans="2:6" x14ac:dyDescent="0.2">
      <c r="B142" s="171" t="s">
        <v>1524</v>
      </c>
      <c r="C142" s="171">
        <v>78.509999999999991</v>
      </c>
      <c r="D142" s="154"/>
      <c r="F142" s="174"/>
    </row>
    <row r="143" spans="2:6" x14ac:dyDescent="0.2">
      <c r="B143" s="171" t="s">
        <v>1525</v>
      </c>
      <c r="C143" s="171">
        <v>7.7299999999999995</v>
      </c>
      <c r="D143" s="154"/>
      <c r="F143" s="174"/>
    </row>
    <row r="144" spans="2:6" x14ac:dyDescent="0.2">
      <c r="B144" s="171" t="s">
        <v>1526</v>
      </c>
      <c r="C144" s="175">
        <v>1.1300000000000097</v>
      </c>
      <c r="D144" s="154"/>
      <c r="F144" s="174"/>
    </row>
    <row r="145" spans="2:10" x14ac:dyDescent="0.2">
      <c r="B145" s="149"/>
      <c r="C145" s="154"/>
      <c r="D145" s="154"/>
      <c r="E145" s="154"/>
      <c r="F145" s="142"/>
    </row>
    <row r="146" spans="2:10" x14ac:dyDescent="0.2">
      <c r="B146" s="149" t="s">
        <v>1527</v>
      </c>
      <c r="C146" s="154"/>
      <c r="D146" s="154"/>
      <c r="E146" s="154"/>
      <c r="F146" s="142"/>
    </row>
    <row r="147" spans="2:10" x14ac:dyDescent="0.2">
      <c r="B147" s="171" t="s">
        <v>1528</v>
      </c>
      <c r="C147" s="175">
        <v>12.629999999999999</v>
      </c>
      <c r="D147" s="176"/>
      <c r="F147" s="174"/>
    </row>
    <row r="148" spans="2:10" x14ac:dyDescent="0.2">
      <c r="B148" s="171" t="s">
        <v>1529</v>
      </c>
      <c r="C148" s="175">
        <v>7.7299999999999995</v>
      </c>
      <c r="D148" s="176"/>
      <c r="F148" s="174"/>
    </row>
    <row r="149" spans="2:10" x14ac:dyDescent="0.2">
      <c r="B149" s="171" t="s">
        <v>1530</v>
      </c>
      <c r="C149" s="175">
        <v>78.509999999999991</v>
      </c>
      <c r="D149" s="176"/>
      <c r="F149" s="174"/>
    </row>
    <row r="150" spans="2:10" x14ac:dyDescent="0.2">
      <c r="B150" s="171" t="s">
        <v>1531</v>
      </c>
      <c r="C150" s="175">
        <v>1.1300000000000097</v>
      </c>
      <c r="D150" s="176"/>
      <c r="F150" s="174"/>
    </row>
    <row r="151" spans="2:10" x14ac:dyDescent="0.2">
      <c r="B151" s="149"/>
      <c r="C151" s="176"/>
      <c r="D151" s="176"/>
      <c r="E151" s="176"/>
      <c r="F151" s="105"/>
    </row>
    <row r="152" spans="2:10" x14ac:dyDescent="0.2">
      <c r="B152" s="177" t="s">
        <v>1532</v>
      </c>
      <c r="C152" s="178"/>
      <c r="D152" s="178"/>
      <c r="E152" s="178"/>
      <c r="F152" s="179"/>
    </row>
    <row r="155" spans="2:10" x14ac:dyDescent="0.2">
      <c r="B155" s="478" t="s">
        <v>1533</v>
      </c>
      <c r="C155" s="478"/>
      <c r="D155" s="478"/>
      <c r="E155" s="478"/>
      <c r="F155" s="478"/>
      <c r="G155" s="478"/>
      <c r="H155" s="478"/>
      <c r="I155" s="478"/>
      <c r="J155" s="116"/>
    </row>
    <row r="156" spans="2:10" ht="12" customHeight="1" x14ac:dyDescent="0.2">
      <c r="B156" s="479" t="s">
        <v>1459</v>
      </c>
      <c r="C156" s="480" t="s">
        <v>1460</v>
      </c>
      <c r="D156" s="480"/>
      <c r="E156" s="107" t="s">
        <v>1461</v>
      </c>
      <c r="F156" s="107" t="s">
        <v>1462</v>
      </c>
      <c r="G156" s="480" t="s">
        <v>1463</v>
      </c>
      <c r="H156" s="480"/>
      <c r="I156" s="480"/>
      <c r="J156" s="480"/>
    </row>
    <row r="157" spans="2:10" ht="36" x14ac:dyDescent="0.2">
      <c r="B157" s="479"/>
      <c r="C157" s="108" t="s">
        <v>1534</v>
      </c>
      <c r="D157" s="108" t="s">
        <v>1535</v>
      </c>
      <c r="E157" s="108" t="s">
        <v>1536</v>
      </c>
      <c r="F157" s="108" t="s">
        <v>1537</v>
      </c>
      <c r="G157" s="108" t="s">
        <v>1534</v>
      </c>
      <c r="H157" s="108" t="s">
        <v>1535</v>
      </c>
      <c r="I157" s="108" t="s">
        <v>1536</v>
      </c>
      <c r="J157" s="108" t="s">
        <v>1537</v>
      </c>
    </row>
    <row r="158" spans="2:10" x14ac:dyDescent="0.2">
      <c r="B158" s="180" t="s">
        <v>1538</v>
      </c>
      <c r="C158" s="110">
        <v>5.3718887788268388E-2</v>
      </c>
      <c r="D158" s="110">
        <v>5.4783207983280846E-2</v>
      </c>
      <c r="E158" s="110">
        <v>5.8460643458022377E-2</v>
      </c>
      <c r="F158" s="110">
        <v>5.9673800901079543E-2</v>
      </c>
      <c r="G158" s="111">
        <v>15113.672</v>
      </c>
      <c r="H158" s="111">
        <v>15234.587</v>
      </c>
      <c r="I158" s="111">
        <v>15658.899565395823</v>
      </c>
      <c r="J158" s="111">
        <v>15801.122669248729</v>
      </c>
    </row>
    <row r="159" spans="2:10" x14ac:dyDescent="0.2">
      <c r="B159" s="181" t="s">
        <v>1663</v>
      </c>
      <c r="C159" s="110">
        <v>8.5805600115443123E-2</v>
      </c>
      <c r="D159" s="110">
        <v>8.6795797187226853E-2</v>
      </c>
      <c r="E159" s="110">
        <v>7.9453385326642312E-2</v>
      </c>
      <c r="F159" s="110">
        <v>1.5132000795989866E-2</v>
      </c>
      <c r="G159" s="111">
        <v>10016.45586851529</v>
      </c>
      <c r="H159" s="111">
        <v>10016.645769323577</v>
      </c>
      <c r="I159" s="111">
        <v>10015.237635542097</v>
      </c>
      <c r="J159" s="111">
        <v>10002.902027549915</v>
      </c>
    </row>
    <row r="160" spans="2:10" x14ac:dyDescent="0.2">
      <c r="B160" s="181" t="s">
        <v>1664</v>
      </c>
      <c r="C160" s="110">
        <v>6.6198525671226527E-2</v>
      </c>
      <c r="D160" s="110">
        <v>6.7194163522489372E-2</v>
      </c>
      <c r="E160" s="110">
        <v>6.8192132743458103E-2</v>
      </c>
      <c r="F160" s="110">
        <v>2.263918631356554E-2</v>
      </c>
      <c r="G160" s="111">
        <v>10027.204873563518</v>
      </c>
      <c r="H160" s="111">
        <v>10027.614039803762</v>
      </c>
      <c r="I160" s="111">
        <v>10028.024164141147</v>
      </c>
      <c r="J160" s="111">
        <v>10009.303775197355</v>
      </c>
    </row>
    <row r="161" spans="2:10" x14ac:dyDescent="0.2">
      <c r="B161" s="181" t="s">
        <v>1665</v>
      </c>
      <c r="C161" s="110">
        <v>5.7238161070348126E-2</v>
      </c>
      <c r="D161" s="110">
        <v>5.8239517318846183E-2</v>
      </c>
      <c r="E161" s="110">
        <v>5.8011738730972803E-2</v>
      </c>
      <c r="F161" s="110">
        <v>2.4867961536392685E-2</v>
      </c>
      <c r="G161" s="111">
        <v>10048.613232689884</v>
      </c>
      <c r="H161" s="111">
        <v>10049.463699640664</v>
      </c>
      <c r="I161" s="111">
        <v>10049.270243853704</v>
      </c>
      <c r="J161" s="111">
        <v>10021.120734455566</v>
      </c>
    </row>
    <row r="162" spans="2:10" x14ac:dyDescent="0.2">
      <c r="B162" s="181" t="s">
        <v>1666</v>
      </c>
      <c r="C162" s="110">
        <v>5.8635711635412341E-2</v>
      </c>
      <c r="D162" s="110">
        <v>5.9651180802601615E-2</v>
      </c>
      <c r="E162" s="110">
        <v>5.8270183684791983E-2</v>
      </c>
      <c r="F162" s="110">
        <v>3.433850622491165E-2</v>
      </c>
      <c r="G162" s="111">
        <v>10144.581206772249</v>
      </c>
      <c r="H162" s="111">
        <v>10147.085103348882</v>
      </c>
      <c r="I162" s="111">
        <v>10143.679904976199</v>
      </c>
      <c r="J162" s="111">
        <v>10084.670289321701</v>
      </c>
    </row>
    <row r="163" spans="2:10" x14ac:dyDescent="0.2">
      <c r="B163" s="181" t="s">
        <v>1667</v>
      </c>
      <c r="C163" s="110">
        <v>5.7852936198029767E-2</v>
      </c>
      <c r="D163" s="110">
        <v>5.8880944468401156E-2</v>
      </c>
      <c r="E163" s="110">
        <v>5.821456654263972E-2</v>
      </c>
      <c r="F163" s="110">
        <v>3.9561945267376546E-2</v>
      </c>
      <c r="G163" s="111">
        <v>10288.472175014833</v>
      </c>
      <c r="H163" s="111">
        <v>10293.598134061616</v>
      </c>
      <c r="I163" s="111">
        <v>10290.275372897546</v>
      </c>
      <c r="J163" s="111">
        <v>10197.267781881164</v>
      </c>
    </row>
    <row r="164" spans="2:10" x14ac:dyDescent="0.2">
      <c r="B164" s="181" t="s">
        <v>1668</v>
      </c>
      <c r="C164" s="110">
        <v>5.9859742604312816E-2</v>
      </c>
      <c r="D164" s="110">
        <v>6.0919163219543382E-2</v>
      </c>
      <c r="E164" s="110">
        <v>6.0684141369516942E-2</v>
      </c>
      <c r="F164" s="110">
        <v>5.2956867022511567E-2</v>
      </c>
      <c r="G164" s="111">
        <v>10598.597426043129</v>
      </c>
      <c r="H164" s="111">
        <v>10609.191632195434</v>
      </c>
      <c r="I164" s="111">
        <v>10606.841413695169</v>
      </c>
      <c r="J164" s="111">
        <v>10529.568670225115</v>
      </c>
    </row>
    <row r="165" spans="2:10" x14ac:dyDescent="0.2">
      <c r="B165" s="181" t="s">
        <v>1669</v>
      </c>
      <c r="C165" s="110">
        <v>6.5617661727233489E-2</v>
      </c>
      <c r="D165" s="110">
        <v>6.6678936302026148E-2</v>
      </c>
      <c r="E165" s="110">
        <v>6.8532145096082075E-2</v>
      </c>
      <c r="F165" s="110">
        <v>6.6602508007509886E-2</v>
      </c>
      <c r="G165" s="111">
        <v>12102.632615949444</v>
      </c>
      <c r="H165" s="111">
        <v>12138.861665017297</v>
      </c>
      <c r="I165" s="111">
        <v>12202.298517627938</v>
      </c>
      <c r="J165" s="111">
        <v>12136.250195621011</v>
      </c>
    </row>
    <row r="166" spans="2:10" x14ac:dyDescent="0.2">
      <c r="B166" s="181" t="s">
        <v>1670</v>
      </c>
      <c r="C166" s="110">
        <v>5.6199878085939403E-2</v>
      </c>
      <c r="D166" s="110">
        <v>5.7249524647168926E-2</v>
      </c>
      <c r="E166" s="110">
        <v>5.9781011351470958E-2</v>
      </c>
      <c r="F166" s="110">
        <v>5.6391102792665126E-2</v>
      </c>
      <c r="G166" s="111">
        <v>13146.060388818352</v>
      </c>
      <c r="H166" s="111">
        <v>13211.548776305113</v>
      </c>
      <c r="I166" s="111">
        <v>13370.564830758578</v>
      </c>
      <c r="J166" s="111">
        <v>13157.971678526001</v>
      </c>
    </row>
    <row r="167" spans="2:10" x14ac:dyDescent="0.2">
      <c r="B167" s="182"/>
      <c r="C167" s="116"/>
      <c r="D167" s="276"/>
      <c r="E167" s="116"/>
      <c r="F167" s="116"/>
      <c r="G167" s="116"/>
      <c r="H167" s="116"/>
      <c r="I167" s="116"/>
      <c r="J167" s="116"/>
    </row>
    <row r="168" spans="2:10" x14ac:dyDescent="0.2">
      <c r="B168" s="107" t="s">
        <v>1649</v>
      </c>
      <c r="C168" s="117"/>
      <c r="D168" s="116"/>
      <c r="E168" s="116"/>
      <c r="F168" s="116"/>
      <c r="G168" s="116"/>
      <c r="H168" s="116"/>
      <c r="I168" s="116"/>
      <c r="J168" s="116"/>
    </row>
    <row r="169" spans="2:10" x14ac:dyDescent="0.2">
      <c r="B169" s="88" t="s">
        <v>1539</v>
      </c>
      <c r="C169" s="183">
        <v>64.20372185183885</v>
      </c>
      <c r="D169" s="184"/>
      <c r="E169" s="184"/>
      <c r="F169" s="116"/>
      <c r="G169" s="116"/>
      <c r="H169" s="116"/>
      <c r="I169" s="116"/>
      <c r="J169" s="116"/>
    </row>
    <row r="170" spans="2:10" x14ac:dyDescent="0.2">
      <c r="B170" s="88" t="s">
        <v>1540</v>
      </c>
      <c r="C170" s="126">
        <v>0.1616677996527853</v>
      </c>
      <c r="D170" s="184"/>
      <c r="E170" s="184"/>
      <c r="F170" s="116"/>
      <c r="G170" s="116"/>
      <c r="H170" s="116"/>
      <c r="I170" s="116"/>
      <c r="J170" s="116"/>
    </row>
    <row r="171" spans="2:10" x14ac:dyDescent="0.2">
      <c r="B171" s="88" t="s">
        <v>1485</v>
      </c>
      <c r="C171" s="126">
        <v>0.1731854019748845</v>
      </c>
      <c r="D171" s="116"/>
      <c r="E171" s="116"/>
      <c r="F171" s="116"/>
      <c r="G171" s="116"/>
      <c r="H171" s="116"/>
      <c r="I171" s="116"/>
      <c r="J171" s="116"/>
    </row>
    <row r="172" spans="2:10" x14ac:dyDescent="0.2">
      <c r="B172" s="88" t="s">
        <v>1541</v>
      </c>
      <c r="C172" s="277">
        <v>7.0615878457023384E-2</v>
      </c>
      <c r="D172" s="116"/>
      <c r="E172" s="116"/>
      <c r="F172" s="116"/>
      <c r="G172" s="116"/>
      <c r="H172" s="116"/>
      <c r="I172" s="116"/>
      <c r="J172" s="116"/>
    </row>
    <row r="173" spans="2:10" x14ac:dyDescent="0.2">
      <c r="B173" s="64"/>
      <c r="C173" s="185"/>
    </row>
    <row r="174" spans="2:10" x14ac:dyDescent="0.2">
      <c r="B174" s="64" t="s">
        <v>1542</v>
      </c>
      <c r="C174" s="185"/>
      <c r="D174" s="64"/>
      <c r="E174" s="64"/>
    </row>
    <row r="175" spans="2:10" x14ac:dyDescent="0.2">
      <c r="B175" s="116" t="s">
        <v>1543</v>
      </c>
      <c r="C175" s="185"/>
      <c r="D175" s="116"/>
      <c r="E175" s="116"/>
    </row>
    <row r="176" spans="2:10" x14ac:dyDescent="0.2">
      <c r="B176" s="116" t="s">
        <v>1544</v>
      </c>
      <c r="C176" s="185"/>
      <c r="D176" s="116"/>
      <c r="E176" s="116"/>
    </row>
    <row r="178" spans="2:5" x14ac:dyDescent="0.2">
      <c r="B178" s="482" t="s">
        <v>1545</v>
      </c>
      <c r="C178" s="482"/>
      <c r="D178" s="482"/>
      <c r="E178" s="482"/>
    </row>
    <row r="179" spans="2:5" x14ac:dyDescent="0.2">
      <c r="B179" s="483" t="s">
        <v>1546</v>
      </c>
      <c r="C179" s="484" t="s">
        <v>1547</v>
      </c>
      <c r="D179" s="484" t="s">
        <v>1548</v>
      </c>
      <c r="E179" s="484" t="s">
        <v>1549</v>
      </c>
    </row>
    <row r="180" spans="2:5" x14ac:dyDescent="0.2">
      <c r="B180" s="483"/>
      <c r="C180" s="484"/>
      <c r="D180" s="484"/>
      <c r="E180" s="484"/>
    </row>
    <row r="181" spans="2:5" x14ac:dyDescent="0.2">
      <c r="B181" s="187" t="s">
        <v>1550</v>
      </c>
      <c r="C181" s="484"/>
      <c r="D181" s="484"/>
      <c r="E181" s="484"/>
    </row>
    <row r="182" spans="2:5" x14ac:dyDescent="0.2">
      <c r="B182" s="187" t="s">
        <v>1551</v>
      </c>
      <c r="C182" s="188" t="s">
        <v>1552</v>
      </c>
      <c r="D182" s="186"/>
      <c r="E182" s="186" t="s">
        <v>183</v>
      </c>
    </row>
    <row r="183" spans="2:5" x14ac:dyDescent="0.2">
      <c r="B183" s="187" t="s">
        <v>1553</v>
      </c>
      <c r="C183" s="186" t="s">
        <v>183</v>
      </c>
      <c r="D183" s="186" t="s">
        <v>183</v>
      </c>
      <c r="E183" s="186" t="s">
        <v>183</v>
      </c>
    </row>
    <row r="184" spans="2:5" x14ac:dyDescent="0.2">
      <c r="B184" s="187" t="s">
        <v>1554</v>
      </c>
      <c r="C184" s="186" t="s">
        <v>183</v>
      </c>
      <c r="D184" s="186" t="s">
        <v>183</v>
      </c>
      <c r="E184" s="186" t="s">
        <v>183</v>
      </c>
    </row>
    <row r="185" spans="2:5" x14ac:dyDescent="0.2">
      <c r="B185" s="484" t="s">
        <v>1555</v>
      </c>
      <c r="C185" s="484"/>
      <c r="D185" s="484"/>
      <c r="E185" s="484"/>
    </row>
    <row r="187" spans="2:5" x14ac:dyDescent="0.2">
      <c r="B187" s="127" t="s">
        <v>1486</v>
      </c>
    </row>
    <row r="188" spans="2:5" x14ac:dyDescent="0.2">
      <c r="B188" s="47" t="s">
        <v>1556</v>
      </c>
    </row>
    <row r="189" spans="2:5" x14ac:dyDescent="0.2">
      <c r="B189" s="47" t="s">
        <v>1557</v>
      </c>
    </row>
    <row r="190" spans="2:5" x14ac:dyDescent="0.2">
      <c r="B190" s="47" t="s">
        <v>1489</v>
      </c>
    </row>
    <row r="192" spans="2:5" x14ac:dyDescent="0.2">
      <c r="C192" s="481" t="s">
        <v>1491</v>
      </c>
      <c r="D192" s="481"/>
      <c r="E192" s="127"/>
    </row>
    <row r="193" spans="2:5" x14ac:dyDescent="0.2">
      <c r="B193" s="128" t="s">
        <v>1490</v>
      </c>
      <c r="C193" s="481" t="s">
        <v>1558</v>
      </c>
      <c r="D193" s="481"/>
      <c r="E193" s="127"/>
    </row>
  </sheetData>
  <mergeCells count="15">
    <mergeCell ref="C192:D192"/>
    <mergeCell ref="C193:D193"/>
    <mergeCell ref="B178:E178"/>
    <mergeCell ref="B179:B180"/>
    <mergeCell ref="C179:C181"/>
    <mergeCell ref="D179:D181"/>
    <mergeCell ref="E179:E181"/>
    <mergeCell ref="B185:E185"/>
    <mergeCell ref="B78:B79"/>
    <mergeCell ref="C78:C79"/>
    <mergeCell ref="B121:F121"/>
    <mergeCell ref="B155:I155"/>
    <mergeCell ref="B156:B157"/>
    <mergeCell ref="C156:D156"/>
    <mergeCell ref="G156:J156"/>
  </mergeCell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169"/>
  <sheetViews>
    <sheetView topLeftCell="A61" workbookViewId="0">
      <selection activeCell="B94" sqref="B94"/>
    </sheetView>
  </sheetViews>
  <sheetFormatPr defaultRowHeight="12" x14ac:dyDescent="0.2"/>
  <cols>
    <col min="1" max="1" width="3.28515625" style="47" customWidth="1"/>
    <col min="2" max="2" width="45.85546875" style="47" customWidth="1"/>
    <col min="3" max="3" width="19.5703125" style="47" customWidth="1"/>
    <col min="4" max="4" width="29" style="47" customWidth="1"/>
    <col min="5" max="5" width="16.7109375" style="47" customWidth="1"/>
    <col min="6" max="6" width="16.140625" style="47" customWidth="1"/>
    <col min="7" max="7" width="11.5703125" style="47" customWidth="1"/>
    <col min="8" max="8" width="9.5703125" style="47" customWidth="1"/>
    <col min="9" max="9" width="8.42578125" style="47" customWidth="1"/>
    <col min="10" max="16384" width="9.140625" style="47"/>
  </cols>
  <sheetData>
    <row r="1" spans="1:9" ht="15.95" customHeight="1" x14ac:dyDescent="0.2">
      <c r="A1" s="46"/>
      <c r="B1" s="22" t="s">
        <v>1188</v>
      </c>
      <c r="C1" s="46"/>
      <c r="D1" s="46"/>
      <c r="E1" s="46"/>
      <c r="F1" s="46"/>
      <c r="G1" s="46"/>
      <c r="H1" s="46"/>
      <c r="I1" s="46"/>
    </row>
    <row r="2" spans="1:9" ht="12.95" customHeight="1" x14ac:dyDescent="0.2">
      <c r="A2" s="46"/>
      <c r="B2" s="2"/>
      <c r="C2" s="46"/>
      <c r="D2" s="46"/>
      <c r="E2" s="46"/>
      <c r="F2" s="46"/>
      <c r="G2" s="46"/>
      <c r="H2" s="46"/>
      <c r="I2" s="46"/>
    </row>
    <row r="3" spans="1:9" ht="12.95" customHeight="1" x14ac:dyDescent="0.2">
      <c r="A3" s="3" t="s">
        <v>0</v>
      </c>
      <c r="B3" s="48" t="s">
        <v>1</v>
      </c>
      <c r="C3" s="46"/>
      <c r="D3" s="46"/>
      <c r="E3" s="46"/>
      <c r="F3" s="46"/>
      <c r="G3" s="46"/>
      <c r="H3" s="46"/>
      <c r="I3" s="46"/>
    </row>
    <row r="4" spans="1:9" ht="27.95" customHeight="1" x14ac:dyDescent="0.2">
      <c r="A4" s="46"/>
      <c r="B4" s="27" t="s">
        <v>2</v>
      </c>
      <c r="C4" s="28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30" t="s">
        <v>9</v>
      </c>
    </row>
    <row r="5" spans="1:9" ht="12.95" customHeight="1" x14ac:dyDescent="0.2">
      <c r="A5" s="46"/>
      <c r="B5" s="31" t="s">
        <v>10</v>
      </c>
      <c r="C5" s="4"/>
      <c r="D5" s="4"/>
      <c r="E5" s="4"/>
      <c r="F5" s="4"/>
      <c r="G5" s="4"/>
      <c r="H5" s="49"/>
      <c r="I5" s="50"/>
    </row>
    <row r="6" spans="1:9" ht="12.95" customHeight="1" x14ac:dyDescent="0.2">
      <c r="A6" s="46"/>
      <c r="B6" s="31" t="s">
        <v>11</v>
      </c>
      <c r="C6" s="4"/>
      <c r="D6" s="4"/>
      <c r="E6" s="4"/>
      <c r="F6" s="51"/>
      <c r="G6" s="49"/>
      <c r="H6" s="49"/>
      <c r="I6" s="50"/>
    </row>
    <row r="7" spans="1:9" ht="12.95" customHeight="1" x14ac:dyDescent="0.2">
      <c r="A7" s="5" t="s">
        <v>12</v>
      </c>
      <c r="B7" s="32" t="s">
        <v>13</v>
      </c>
      <c r="C7" s="4" t="s">
        <v>14</v>
      </c>
      <c r="D7" s="4" t="s">
        <v>15</v>
      </c>
      <c r="E7" s="6">
        <v>5771785</v>
      </c>
      <c r="F7" s="7">
        <v>42223.49</v>
      </c>
      <c r="G7" s="8">
        <v>8.0299999999999996E-2</v>
      </c>
      <c r="H7" s="9"/>
      <c r="I7" s="33"/>
    </row>
    <row r="8" spans="1:9" ht="12.95" customHeight="1" x14ac:dyDescent="0.2">
      <c r="A8" s="5" t="s">
        <v>16</v>
      </c>
      <c r="B8" s="32" t="s">
        <v>17</v>
      </c>
      <c r="C8" s="4" t="s">
        <v>18</v>
      </c>
      <c r="D8" s="4" t="s">
        <v>19</v>
      </c>
      <c r="E8" s="6">
        <v>13647455</v>
      </c>
      <c r="F8" s="7">
        <v>40410.11</v>
      </c>
      <c r="G8" s="8">
        <v>7.6799999999999993E-2</v>
      </c>
      <c r="H8" s="9"/>
      <c r="I8" s="33"/>
    </row>
    <row r="9" spans="1:9" ht="12.95" customHeight="1" x14ac:dyDescent="0.2">
      <c r="A9" s="5" t="s">
        <v>20</v>
      </c>
      <c r="B9" s="32" t="s">
        <v>21</v>
      </c>
      <c r="C9" s="4" t="s">
        <v>22</v>
      </c>
      <c r="D9" s="4" t="s">
        <v>23</v>
      </c>
      <c r="E9" s="6">
        <v>8209670</v>
      </c>
      <c r="F9" s="7">
        <v>36980.46</v>
      </c>
      <c r="G9" s="8">
        <v>7.0300000000000001E-2</v>
      </c>
      <c r="H9" s="9"/>
      <c r="I9" s="33"/>
    </row>
    <row r="10" spans="1:9" ht="12.95" customHeight="1" x14ac:dyDescent="0.2">
      <c r="A10" s="5" t="s">
        <v>31</v>
      </c>
      <c r="B10" s="32" t="s">
        <v>32</v>
      </c>
      <c r="C10" s="4" t="s">
        <v>33</v>
      </c>
      <c r="D10" s="4" t="s">
        <v>34</v>
      </c>
      <c r="E10" s="6">
        <v>352751</v>
      </c>
      <c r="F10" s="7">
        <v>30851.599999999999</v>
      </c>
      <c r="G10" s="8">
        <v>5.8599999999999999E-2</v>
      </c>
      <c r="H10" s="9"/>
      <c r="I10" s="33"/>
    </row>
    <row r="11" spans="1:9" ht="12.95" customHeight="1" x14ac:dyDescent="0.2">
      <c r="A11" s="5" t="s">
        <v>27</v>
      </c>
      <c r="B11" s="32" t="s">
        <v>28</v>
      </c>
      <c r="C11" s="4" t="s">
        <v>29</v>
      </c>
      <c r="D11" s="4" t="s">
        <v>30</v>
      </c>
      <c r="E11" s="6">
        <v>9312837</v>
      </c>
      <c r="F11" s="7">
        <v>26793.03</v>
      </c>
      <c r="G11" s="8">
        <v>5.0900000000000001E-2</v>
      </c>
      <c r="H11" s="9"/>
      <c r="I11" s="33"/>
    </row>
    <row r="12" spans="1:9" ht="12.95" customHeight="1" x14ac:dyDescent="0.2">
      <c r="A12" s="5" t="s">
        <v>105</v>
      </c>
      <c r="B12" s="32" t="s">
        <v>106</v>
      </c>
      <c r="C12" s="4" t="s">
        <v>107</v>
      </c>
      <c r="D12" s="4" t="s">
        <v>34</v>
      </c>
      <c r="E12" s="6">
        <v>236284</v>
      </c>
      <c r="F12" s="7">
        <v>26248.79</v>
      </c>
      <c r="G12" s="8">
        <v>4.99E-2</v>
      </c>
      <c r="H12" s="9"/>
      <c r="I12" s="33"/>
    </row>
    <row r="13" spans="1:9" ht="12.95" customHeight="1" x14ac:dyDescent="0.2">
      <c r="A13" s="5" t="s">
        <v>24</v>
      </c>
      <c r="B13" s="32" t="s">
        <v>25</v>
      </c>
      <c r="C13" s="4" t="s">
        <v>26</v>
      </c>
      <c r="D13" s="4" t="s">
        <v>15</v>
      </c>
      <c r="E13" s="6">
        <v>2035120</v>
      </c>
      <c r="F13" s="7">
        <v>24541.51</v>
      </c>
      <c r="G13" s="8">
        <v>4.6699999999999998E-2</v>
      </c>
      <c r="H13" s="9"/>
      <c r="I13" s="33"/>
    </row>
    <row r="14" spans="1:9" ht="12.95" customHeight="1" x14ac:dyDescent="0.2">
      <c r="A14" s="5" t="s">
        <v>35</v>
      </c>
      <c r="B14" s="32" t="s">
        <v>36</v>
      </c>
      <c r="C14" s="4" t="s">
        <v>37</v>
      </c>
      <c r="D14" s="4" t="s">
        <v>15</v>
      </c>
      <c r="E14" s="6">
        <v>6089925</v>
      </c>
      <c r="F14" s="7">
        <v>21521.79</v>
      </c>
      <c r="G14" s="8">
        <v>4.0899999999999999E-2</v>
      </c>
      <c r="H14" s="9"/>
      <c r="I14" s="33"/>
    </row>
    <row r="15" spans="1:9" ht="12.95" customHeight="1" x14ac:dyDescent="0.2">
      <c r="A15" s="5" t="s">
        <v>42</v>
      </c>
      <c r="B15" s="32" t="s">
        <v>43</v>
      </c>
      <c r="C15" s="4" t="s">
        <v>44</v>
      </c>
      <c r="D15" s="4" t="s">
        <v>45</v>
      </c>
      <c r="E15" s="6">
        <v>1595041</v>
      </c>
      <c r="F15" s="7">
        <v>21399.07</v>
      </c>
      <c r="G15" s="8">
        <v>4.07E-2</v>
      </c>
      <c r="H15" s="9"/>
      <c r="I15" s="33"/>
    </row>
    <row r="16" spans="1:9" ht="12.95" customHeight="1" x14ac:dyDescent="0.2">
      <c r="A16" s="5" t="s">
        <v>53</v>
      </c>
      <c r="B16" s="32" t="s">
        <v>54</v>
      </c>
      <c r="C16" s="4" t="s">
        <v>55</v>
      </c>
      <c r="D16" s="4" t="s">
        <v>41</v>
      </c>
      <c r="E16" s="6">
        <v>159145</v>
      </c>
      <c r="F16" s="7">
        <v>19584.38</v>
      </c>
      <c r="G16" s="8">
        <v>3.7199999999999997E-2</v>
      </c>
      <c r="H16" s="9"/>
      <c r="I16" s="33"/>
    </row>
    <row r="17" spans="1:9" ht="12.95" customHeight="1" x14ac:dyDescent="0.2">
      <c r="A17" s="5" t="s">
        <v>56</v>
      </c>
      <c r="B17" s="32" t="s">
        <v>57</v>
      </c>
      <c r="C17" s="4" t="s">
        <v>58</v>
      </c>
      <c r="D17" s="4" t="s">
        <v>45</v>
      </c>
      <c r="E17" s="6">
        <v>1502022</v>
      </c>
      <c r="F17" s="7">
        <v>18784.29</v>
      </c>
      <c r="G17" s="8">
        <v>3.5700000000000003E-2</v>
      </c>
      <c r="H17" s="9"/>
      <c r="I17" s="33"/>
    </row>
    <row r="18" spans="1:9" ht="12.95" customHeight="1" x14ac:dyDescent="0.2">
      <c r="A18" s="5" t="s">
        <v>49</v>
      </c>
      <c r="B18" s="32" t="s">
        <v>50</v>
      </c>
      <c r="C18" s="4" t="s">
        <v>51</v>
      </c>
      <c r="D18" s="4" t="s">
        <v>52</v>
      </c>
      <c r="E18" s="6">
        <v>1048262</v>
      </c>
      <c r="F18" s="7">
        <v>18684.22</v>
      </c>
      <c r="G18" s="8">
        <v>3.5499999999999997E-2</v>
      </c>
      <c r="H18" s="9"/>
      <c r="I18" s="33"/>
    </row>
    <row r="19" spans="1:9" ht="12.95" customHeight="1" x14ac:dyDescent="0.2">
      <c r="A19" s="5" t="s">
        <v>46</v>
      </c>
      <c r="B19" s="32" t="s">
        <v>47</v>
      </c>
      <c r="C19" s="4" t="s">
        <v>48</v>
      </c>
      <c r="D19" s="4" t="s">
        <v>15</v>
      </c>
      <c r="E19" s="6">
        <v>1598937</v>
      </c>
      <c r="F19" s="7">
        <v>18568.46</v>
      </c>
      <c r="G19" s="8">
        <v>3.5299999999999998E-2</v>
      </c>
      <c r="H19" s="9"/>
      <c r="I19" s="33"/>
    </row>
    <row r="20" spans="1:9" ht="12.95" customHeight="1" x14ac:dyDescent="0.2">
      <c r="A20" s="5" t="s">
        <v>38</v>
      </c>
      <c r="B20" s="32" t="s">
        <v>39</v>
      </c>
      <c r="C20" s="4" t="s">
        <v>40</v>
      </c>
      <c r="D20" s="4" t="s">
        <v>41</v>
      </c>
      <c r="E20" s="6">
        <v>626849</v>
      </c>
      <c r="F20" s="7">
        <v>18521.509999999998</v>
      </c>
      <c r="G20" s="8">
        <v>3.5200000000000002E-2</v>
      </c>
      <c r="H20" s="9"/>
      <c r="I20" s="33"/>
    </row>
    <row r="21" spans="1:9" ht="12.95" customHeight="1" x14ac:dyDescent="0.2">
      <c r="A21" s="5" t="s">
        <v>98</v>
      </c>
      <c r="B21" s="32" t="s">
        <v>99</v>
      </c>
      <c r="C21" s="4" t="s">
        <v>100</v>
      </c>
      <c r="D21" s="4" t="s">
        <v>101</v>
      </c>
      <c r="E21" s="6">
        <v>6167029</v>
      </c>
      <c r="F21" s="7">
        <v>16379.63</v>
      </c>
      <c r="G21" s="8">
        <v>3.1099999999999999E-2</v>
      </c>
      <c r="H21" s="9"/>
      <c r="I21" s="33"/>
    </row>
    <row r="22" spans="1:9" ht="12.95" customHeight="1" x14ac:dyDescent="0.2">
      <c r="A22" s="5" t="s">
        <v>428</v>
      </c>
      <c r="B22" s="32" t="s">
        <v>429</v>
      </c>
      <c r="C22" s="4" t="s">
        <v>430</v>
      </c>
      <c r="D22" s="4" t="s">
        <v>431</v>
      </c>
      <c r="E22" s="6">
        <v>1401976</v>
      </c>
      <c r="F22" s="7">
        <v>14597.37</v>
      </c>
      <c r="G22" s="8">
        <v>2.7699999999999999E-2</v>
      </c>
      <c r="H22" s="9"/>
      <c r="I22" s="33"/>
    </row>
    <row r="23" spans="1:9" ht="12.95" customHeight="1" x14ac:dyDescent="0.2">
      <c r="A23" s="5" t="s">
        <v>59</v>
      </c>
      <c r="B23" s="32" t="s">
        <v>60</v>
      </c>
      <c r="C23" s="4" t="s">
        <v>61</v>
      </c>
      <c r="D23" s="4" t="s">
        <v>45</v>
      </c>
      <c r="E23" s="6">
        <v>455117</v>
      </c>
      <c r="F23" s="7">
        <v>10735.75</v>
      </c>
      <c r="G23" s="8">
        <v>2.0400000000000001E-2</v>
      </c>
      <c r="H23" s="9"/>
      <c r="I23" s="33"/>
    </row>
    <row r="24" spans="1:9" ht="12.95" customHeight="1" x14ac:dyDescent="0.2">
      <c r="A24" s="5" t="s">
        <v>432</v>
      </c>
      <c r="B24" s="32" t="s">
        <v>433</v>
      </c>
      <c r="C24" s="4" t="s">
        <v>434</v>
      </c>
      <c r="D24" s="4" t="s">
        <v>45</v>
      </c>
      <c r="E24" s="6">
        <v>4936754</v>
      </c>
      <c r="F24" s="7">
        <v>9263.33</v>
      </c>
      <c r="G24" s="8">
        <v>1.7600000000000001E-2</v>
      </c>
      <c r="H24" s="9"/>
      <c r="I24" s="33"/>
    </row>
    <row r="25" spans="1:9" ht="12.95" customHeight="1" x14ac:dyDescent="0.2">
      <c r="A25" s="5" t="s">
        <v>62</v>
      </c>
      <c r="B25" s="32" t="s">
        <v>63</v>
      </c>
      <c r="C25" s="4" t="s">
        <v>64</v>
      </c>
      <c r="D25" s="4" t="s">
        <v>65</v>
      </c>
      <c r="E25" s="6">
        <v>609491</v>
      </c>
      <c r="F25" s="7">
        <v>7648.5</v>
      </c>
      <c r="G25" s="8">
        <v>1.4500000000000001E-2</v>
      </c>
      <c r="H25" s="9"/>
      <c r="I25" s="33"/>
    </row>
    <row r="26" spans="1:9" ht="12.95" customHeight="1" x14ac:dyDescent="0.2">
      <c r="A26" s="5" t="s">
        <v>66</v>
      </c>
      <c r="B26" s="32" t="s">
        <v>67</v>
      </c>
      <c r="C26" s="4" t="s">
        <v>68</v>
      </c>
      <c r="D26" s="4" t="s">
        <v>65</v>
      </c>
      <c r="E26" s="6">
        <v>812824</v>
      </c>
      <c r="F26" s="7">
        <v>7081.32</v>
      </c>
      <c r="G26" s="8">
        <v>1.35E-2</v>
      </c>
      <c r="H26" s="9"/>
      <c r="I26" s="33"/>
    </row>
    <row r="27" spans="1:9" ht="12.95" customHeight="1" x14ac:dyDescent="0.2">
      <c r="A27" s="5" t="s">
        <v>69</v>
      </c>
      <c r="B27" s="32" t="s">
        <v>70</v>
      </c>
      <c r="C27" s="4" t="s">
        <v>71</v>
      </c>
      <c r="D27" s="4" t="s">
        <v>65</v>
      </c>
      <c r="E27" s="6">
        <v>549046</v>
      </c>
      <c r="F27" s="7">
        <v>6721.42</v>
      </c>
      <c r="G27" s="8">
        <v>1.2800000000000001E-2</v>
      </c>
      <c r="H27" s="9"/>
      <c r="I27" s="33"/>
    </row>
    <row r="28" spans="1:9" ht="12.95" customHeight="1" x14ac:dyDescent="0.2">
      <c r="A28" s="5" t="s">
        <v>72</v>
      </c>
      <c r="B28" s="32" t="s">
        <v>73</v>
      </c>
      <c r="C28" s="4" t="s">
        <v>74</v>
      </c>
      <c r="D28" s="4" t="s">
        <v>75</v>
      </c>
      <c r="E28" s="6">
        <v>1163620</v>
      </c>
      <c r="F28" s="7">
        <v>4961.09</v>
      </c>
      <c r="G28" s="8">
        <v>9.4000000000000004E-3</v>
      </c>
      <c r="H28" s="9"/>
      <c r="I28" s="33"/>
    </row>
    <row r="29" spans="1:9" ht="12.95" customHeight="1" x14ac:dyDescent="0.2">
      <c r="A29" s="5" t="s">
        <v>435</v>
      </c>
      <c r="B29" s="32" t="s">
        <v>436</v>
      </c>
      <c r="C29" s="4" t="s">
        <v>437</v>
      </c>
      <c r="D29" s="4" t="s">
        <v>438</v>
      </c>
      <c r="E29" s="6">
        <v>2309159</v>
      </c>
      <c r="F29" s="7">
        <v>4619.93</v>
      </c>
      <c r="G29" s="8">
        <v>8.8000000000000005E-3</v>
      </c>
      <c r="H29" s="9"/>
      <c r="I29" s="33"/>
    </row>
    <row r="30" spans="1:9" ht="12.95" customHeight="1" x14ac:dyDescent="0.2">
      <c r="A30" s="5" t="s">
        <v>76</v>
      </c>
      <c r="B30" s="32" t="s">
        <v>77</v>
      </c>
      <c r="C30" s="4" t="s">
        <v>78</v>
      </c>
      <c r="D30" s="4" t="s">
        <v>79</v>
      </c>
      <c r="E30" s="6">
        <v>3951545</v>
      </c>
      <c r="F30" s="7">
        <v>4534.3999999999996</v>
      </c>
      <c r="G30" s="8">
        <v>8.6E-3</v>
      </c>
      <c r="H30" s="9"/>
      <c r="I30" s="33"/>
    </row>
    <row r="31" spans="1:9" ht="12.95" customHeight="1" x14ac:dyDescent="0.2">
      <c r="A31" s="5" t="s">
        <v>80</v>
      </c>
      <c r="B31" s="32" t="s">
        <v>81</v>
      </c>
      <c r="C31" s="4" t="s">
        <v>82</v>
      </c>
      <c r="D31" s="4" t="s">
        <v>75</v>
      </c>
      <c r="E31" s="6">
        <v>331899</v>
      </c>
      <c r="F31" s="7">
        <v>2573.88</v>
      </c>
      <c r="G31" s="8">
        <v>4.8999999999999998E-3</v>
      </c>
      <c r="H31" s="9"/>
      <c r="I31" s="33"/>
    </row>
    <row r="32" spans="1:9" ht="12.95" customHeight="1" x14ac:dyDescent="0.2">
      <c r="A32" s="5" t="s">
        <v>83</v>
      </c>
      <c r="B32" s="32" t="s">
        <v>84</v>
      </c>
      <c r="C32" s="4" t="s">
        <v>85</v>
      </c>
      <c r="D32" s="4" t="s">
        <v>86</v>
      </c>
      <c r="E32" s="6">
        <v>119748</v>
      </c>
      <c r="F32" s="7">
        <v>2494.35</v>
      </c>
      <c r="G32" s="8">
        <v>4.7000000000000002E-3</v>
      </c>
      <c r="H32" s="9"/>
      <c r="I32" s="33"/>
    </row>
    <row r="33" spans="1:9" ht="12.95" customHeight="1" x14ac:dyDescent="0.2">
      <c r="A33" s="5" t="s">
        <v>91</v>
      </c>
      <c r="B33" s="32" t="s">
        <v>92</v>
      </c>
      <c r="C33" s="4" t="s">
        <v>93</v>
      </c>
      <c r="D33" s="4" t="s">
        <v>94</v>
      </c>
      <c r="E33" s="6">
        <v>134254</v>
      </c>
      <c r="F33" s="7">
        <v>1899.29</v>
      </c>
      <c r="G33" s="8">
        <v>3.5999999999999999E-3</v>
      </c>
      <c r="H33" s="9"/>
      <c r="I33" s="33"/>
    </row>
    <row r="34" spans="1:9" ht="12.95" customHeight="1" x14ac:dyDescent="0.2">
      <c r="A34" s="5" t="s">
        <v>87</v>
      </c>
      <c r="B34" s="32" t="s">
        <v>88</v>
      </c>
      <c r="C34" s="4" t="s">
        <v>89</v>
      </c>
      <c r="D34" s="4" t="s">
        <v>90</v>
      </c>
      <c r="E34" s="6">
        <v>104790</v>
      </c>
      <c r="F34" s="7">
        <v>1682.19</v>
      </c>
      <c r="G34" s="8">
        <v>3.2000000000000002E-3</v>
      </c>
      <c r="H34" s="9"/>
      <c r="I34" s="33"/>
    </row>
    <row r="35" spans="1:9" ht="12.95" customHeight="1" x14ac:dyDescent="0.2">
      <c r="A35" s="5" t="s">
        <v>95</v>
      </c>
      <c r="B35" s="32" t="s">
        <v>96</v>
      </c>
      <c r="C35" s="4" t="s">
        <v>97</v>
      </c>
      <c r="D35" s="4" t="s">
        <v>79</v>
      </c>
      <c r="E35" s="6">
        <v>103262</v>
      </c>
      <c r="F35" s="7">
        <v>1155.9100000000001</v>
      </c>
      <c r="G35" s="8">
        <v>2.2000000000000001E-3</v>
      </c>
      <c r="H35" s="9"/>
      <c r="I35" s="33"/>
    </row>
    <row r="36" spans="1:9" ht="12.95" customHeight="1" x14ac:dyDescent="0.2">
      <c r="A36" s="5" t="s">
        <v>114</v>
      </c>
      <c r="B36" s="32" t="s">
        <v>115</v>
      </c>
      <c r="C36" s="4" t="s">
        <v>116</v>
      </c>
      <c r="D36" s="4" t="s">
        <v>117</v>
      </c>
      <c r="E36" s="6">
        <v>31709</v>
      </c>
      <c r="F36" s="7">
        <v>1049.22</v>
      </c>
      <c r="G36" s="8">
        <v>2E-3</v>
      </c>
      <c r="H36" s="9"/>
      <c r="I36" s="33"/>
    </row>
    <row r="37" spans="1:9" ht="12.95" customHeight="1" x14ac:dyDescent="0.2">
      <c r="A37" s="5" t="s">
        <v>439</v>
      </c>
      <c r="B37" s="32" t="s">
        <v>440</v>
      </c>
      <c r="C37" s="4" t="s">
        <v>441</v>
      </c>
      <c r="D37" s="4" t="s">
        <v>442</v>
      </c>
      <c r="E37" s="6">
        <v>140059</v>
      </c>
      <c r="F37" s="7">
        <v>569.62</v>
      </c>
      <c r="G37" s="8">
        <v>1.1000000000000001E-3</v>
      </c>
      <c r="H37" s="9"/>
      <c r="I37" s="33"/>
    </row>
    <row r="38" spans="1:9" ht="12.95" customHeight="1" x14ac:dyDescent="0.2">
      <c r="A38" s="5" t="s">
        <v>108</v>
      </c>
      <c r="B38" s="32" t="s">
        <v>109</v>
      </c>
      <c r="C38" s="4" t="s">
        <v>110</v>
      </c>
      <c r="D38" s="4" t="s">
        <v>52</v>
      </c>
      <c r="E38" s="6">
        <v>100000</v>
      </c>
      <c r="F38" s="7">
        <v>418.15</v>
      </c>
      <c r="G38" s="8">
        <v>8.0000000000000004E-4</v>
      </c>
      <c r="H38" s="9"/>
      <c r="I38" s="33"/>
    </row>
    <row r="39" spans="1:9" ht="12.95" customHeight="1" x14ac:dyDescent="0.2">
      <c r="A39" s="5" t="s">
        <v>443</v>
      </c>
      <c r="B39" s="32" t="s">
        <v>444</v>
      </c>
      <c r="C39" s="4" t="s">
        <v>445</v>
      </c>
      <c r="D39" s="4" t="s">
        <v>431</v>
      </c>
      <c r="E39" s="6">
        <v>72838</v>
      </c>
      <c r="F39" s="7">
        <v>408.51</v>
      </c>
      <c r="G39" s="8">
        <v>8.0000000000000004E-4</v>
      </c>
      <c r="H39" s="9"/>
      <c r="I39" s="33"/>
    </row>
    <row r="40" spans="1:9" ht="12.95" customHeight="1" x14ac:dyDescent="0.2">
      <c r="A40" s="5" t="s">
        <v>102</v>
      </c>
      <c r="B40" s="32" t="s">
        <v>103</v>
      </c>
      <c r="C40" s="4" t="s">
        <v>104</v>
      </c>
      <c r="D40" s="4" t="s">
        <v>79</v>
      </c>
      <c r="E40" s="6">
        <v>5803</v>
      </c>
      <c r="F40" s="7">
        <v>290.32</v>
      </c>
      <c r="G40" s="8">
        <v>5.9999999999999995E-4</v>
      </c>
      <c r="H40" s="9"/>
      <c r="I40" s="33"/>
    </row>
    <row r="41" spans="1:9" ht="12.95" customHeight="1" x14ac:dyDescent="0.2">
      <c r="A41" s="5" t="s">
        <v>111</v>
      </c>
      <c r="B41" s="32" t="s">
        <v>112</v>
      </c>
      <c r="C41" s="4" t="s">
        <v>113</v>
      </c>
      <c r="D41" s="4" t="s">
        <v>86</v>
      </c>
      <c r="E41" s="6">
        <v>34765</v>
      </c>
      <c r="F41" s="7">
        <v>154.69999999999999</v>
      </c>
      <c r="G41" s="8">
        <v>2.9999999999999997E-4</v>
      </c>
      <c r="H41" s="9"/>
      <c r="I41" s="33"/>
    </row>
    <row r="42" spans="1:9" ht="12.95" customHeight="1" x14ac:dyDescent="0.2">
      <c r="A42" s="5" t="s">
        <v>118</v>
      </c>
      <c r="B42" s="32" t="s">
        <v>119</v>
      </c>
      <c r="C42" s="4" t="s">
        <v>120</v>
      </c>
      <c r="D42" s="4" t="s">
        <v>101</v>
      </c>
      <c r="E42" s="6">
        <v>15060</v>
      </c>
      <c r="F42" s="7">
        <v>152.71</v>
      </c>
      <c r="G42" s="8">
        <v>2.9999999999999997E-4</v>
      </c>
      <c r="H42" s="9"/>
      <c r="I42" s="33"/>
    </row>
    <row r="43" spans="1:9" ht="12.95" customHeight="1" x14ac:dyDescent="0.2">
      <c r="A43" s="5" t="s">
        <v>121</v>
      </c>
      <c r="B43" s="32" t="s">
        <v>122</v>
      </c>
      <c r="C43" s="4" t="s">
        <v>123</v>
      </c>
      <c r="D43" s="4" t="s">
        <v>124</v>
      </c>
      <c r="E43" s="6">
        <v>47293</v>
      </c>
      <c r="F43" s="7">
        <v>68.87</v>
      </c>
      <c r="G43" s="8">
        <v>1E-4</v>
      </c>
      <c r="H43" s="9"/>
      <c r="I43" s="33"/>
    </row>
    <row r="44" spans="1:9" ht="12.95" customHeight="1" x14ac:dyDescent="0.2">
      <c r="A44" s="5" t="s">
        <v>125</v>
      </c>
      <c r="B44" s="32" t="s">
        <v>126</v>
      </c>
      <c r="C44" s="4" t="s">
        <v>127</v>
      </c>
      <c r="D44" s="4" t="s">
        <v>124</v>
      </c>
      <c r="E44" s="6">
        <v>3840</v>
      </c>
      <c r="F44" s="7">
        <v>35.619999999999997</v>
      </c>
      <c r="G44" s="8">
        <v>1E-4</v>
      </c>
      <c r="H44" s="9"/>
      <c r="I44" s="33"/>
    </row>
    <row r="45" spans="1:9" ht="12.95" customHeight="1" x14ac:dyDescent="0.2">
      <c r="A45" s="46"/>
      <c r="B45" s="34" t="s">
        <v>128</v>
      </c>
      <c r="C45" s="1"/>
      <c r="D45" s="1"/>
      <c r="E45" s="1"/>
      <c r="F45" s="10">
        <v>464608.79</v>
      </c>
      <c r="G45" s="11">
        <v>0.8831</v>
      </c>
      <c r="H45" s="12"/>
      <c r="I45" s="35"/>
    </row>
    <row r="46" spans="1:9" ht="12.95" customHeight="1" x14ac:dyDescent="0.2">
      <c r="A46" s="46"/>
      <c r="B46" s="31" t="s">
        <v>152</v>
      </c>
      <c r="C46" s="4"/>
      <c r="D46" s="4"/>
      <c r="E46" s="4"/>
      <c r="F46" s="51"/>
      <c r="G46" s="49"/>
      <c r="H46" s="49"/>
      <c r="I46" s="50"/>
    </row>
    <row r="47" spans="1:9" ht="12.95" customHeight="1" x14ac:dyDescent="0.2">
      <c r="A47" s="5" t="s">
        <v>153</v>
      </c>
      <c r="B47" s="32" t="s">
        <v>154</v>
      </c>
      <c r="C47" s="4" t="s">
        <v>155</v>
      </c>
      <c r="D47" s="4" t="s">
        <v>156</v>
      </c>
      <c r="E47" s="6">
        <v>3212391</v>
      </c>
      <c r="F47" s="7">
        <v>13501.36</v>
      </c>
      <c r="G47" s="8">
        <v>2.5700000000000001E-2</v>
      </c>
      <c r="H47" s="9"/>
      <c r="I47" s="33"/>
    </row>
    <row r="48" spans="1:9" ht="12.95" customHeight="1" x14ac:dyDescent="0.2">
      <c r="A48" s="5" t="s">
        <v>157</v>
      </c>
      <c r="B48" s="32" t="s">
        <v>158</v>
      </c>
      <c r="C48" s="4" t="s">
        <v>159</v>
      </c>
      <c r="D48" s="4" t="s">
        <v>156</v>
      </c>
      <c r="E48" s="6">
        <v>4069460</v>
      </c>
      <c r="F48" s="7">
        <v>13172.44</v>
      </c>
      <c r="G48" s="8">
        <v>2.5000000000000001E-2</v>
      </c>
      <c r="H48" s="9"/>
      <c r="I48" s="33"/>
    </row>
    <row r="49" spans="1:9" ht="12.95" customHeight="1" x14ac:dyDescent="0.2">
      <c r="A49" s="46"/>
      <c r="B49" s="34" t="s">
        <v>128</v>
      </c>
      <c r="C49" s="1"/>
      <c r="D49" s="1"/>
      <c r="E49" s="1"/>
      <c r="F49" s="10">
        <v>26673.8</v>
      </c>
      <c r="G49" s="11">
        <v>5.0700000000000002E-2</v>
      </c>
      <c r="H49" s="12"/>
      <c r="I49" s="35"/>
    </row>
    <row r="50" spans="1:9" ht="12.95" customHeight="1" x14ac:dyDescent="0.2">
      <c r="A50" s="46"/>
      <c r="B50" s="34" t="s">
        <v>163</v>
      </c>
      <c r="C50" s="1"/>
      <c r="D50" s="1"/>
      <c r="E50" s="1"/>
      <c r="F50" s="12" t="s">
        <v>164</v>
      </c>
      <c r="G50" s="12" t="s">
        <v>164</v>
      </c>
      <c r="H50" s="12"/>
      <c r="I50" s="35"/>
    </row>
    <row r="51" spans="1:9" ht="12.95" customHeight="1" x14ac:dyDescent="0.2">
      <c r="A51" s="46"/>
      <c r="B51" s="34" t="s">
        <v>128</v>
      </c>
      <c r="C51" s="1"/>
      <c r="D51" s="1"/>
      <c r="E51" s="1"/>
      <c r="F51" s="12" t="s">
        <v>164</v>
      </c>
      <c r="G51" s="12" t="s">
        <v>164</v>
      </c>
      <c r="H51" s="12"/>
      <c r="I51" s="35"/>
    </row>
    <row r="52" spans="1:9" ht="12.95" customHeight="1" x14ac:dyDescent="0.2">
      <c r="A52" s="46"/>
      <c r="B52" s="34" t="s">
        <v>165</v>
      </c>
      <c r="C52" s="13"/>
      <c r="D52" s="1"/>
      <c r="E52" s="13"/>
      <c r="F52" s="10">
        <v>491282.59</v>
      </c>
      <c r="G52" s="11">
        <v>0.93379999999999996</v>
      </c>
      <c r="H52" s="12"/>
      <c r="I52" s="35"/>
    </row>
    <row r="53" spans="1:9" ht="12.95" customHeight="1" x14ac:dyDescent="0.2">
      <c r="A53" s="46"/>
      <c r="B53" s="31" t="s">
        <v>194</v>
      </c>
      <c r="C53" s="4"/>
      <c r="D53" s="4"/>
      <c r="E53" s="4"/>
      <c r="F53" s="4"/>
      <c r="G53" s="4"/>
      <c r="H53" s="49"/>
      <c r="I53" s="50"/>
    </row>
    <row r="54" spans="1:9" ht="12.95" customHeight="1" x14ac:dyDescent="0.2">
      <c r="A54" s="46"/>
      <c r="B54" s="31" t="s">
        <v>195</v>
      </c>
      <c r="C54" s="4"/>
      <c r="D54" s="4"/>
      <c r="E54" s="4"/>
      <c r="F54" s="51"/>
      <c r="G54" s="49"/>
      <c r="H54" s="49"/>
      <c r="I54" s="50"/>
    </row>
    <row r="55" spans="1:9" ht="12.95" customHeight="1" x14ac:dyDescent="0.2">
      <c r="A55" s="5" t="s">
        <v>240</v>
      </c>
      <c r="B55" s="32" t="s">
        <v>1210</v>
      </c>
      <c r="C55" s="4" t="s">
        <v>241</v>
      </c>
      <c r="D55" s="4" t="s">
        <v>1257</v>
      </c>
      <c r="E55" s="6">
        <v>1000</v>
      </c>
      <c r="F55" s="7">
        <v>4809.67</v>
      </c>
      <c r="G55" s="8">
        <v>9.1000000000000004E-3</v>
      </c>
      <c r="H55" s="14">
        <v>7.2950000000000001E-2</v>
      </c>
      <c r="I55" s="33"/>
    </row>
    <row r="56" spans="1:9" ht="12.95" customHeight="1" x14ac:dyDescent="0.2">
      <c r="A56" s="5" t="s">
        <v>228</v>
      </c>
      <c r="B56" s="32" t="s">
        <v>1398</v>
      </c>
      <c r="C56" s="4" t="s">
        <v>229</v>
      </c>
      <c r="D56" s="4" t="s">
        <v>198</v>
      </c>
      <c r="E56" s="6">
        <v>500</v>
      </c>
      <c r="F56" s="7">
        <v>2464.5300000000002</v>
      </c>
      <c r="G56" s="8">
        <v>4.7000000000000002E-3</v>
      </c>
      <c r="H56" s="14">
        <v>7.3998999999999995E-2</v>
      </c>
      <c r="I56" s="33"/>
    </row>
    <row r="57" spans="1:9" ht="12.95" customHeight="1" x14ac:dyDescent="0.2">
      <c r="A57" s="46"/>
      <c r="B57" s="34" t="s">
        <v>128</v>
      </c>
      <c r="C57" s="1"/>
      <c r="D57" s="1"/>
      <c r="E57" s="1"/>
      <c r="F57" s="10">
        <v>7274.2</v>
      </c>
      <c r="G57" s="11">
        <v>1.38E-2</v>
      </c>
      <c r="H57" s="12"/>
      <c r="I57" s="35"/>
    </row>
    <row r="58" spans="1:9" ht="12.95" customHeight="1" x14ac:dyDescent="0.2">
      <c r="A58" s="46"/>
      <c r="B58" s="31" t="s">
        <v>301</v>
      </c>
      <c r="C58" s="4"/>
      <c r="D58" s="4"/>
      <c r="E58" s="4"/>
      <c r="F58" s="51"/>
      <c r="G58" s="49"/>
      <c r="H58" s="49"/>
      <c r="I58" s="50"/>
    </row>
    <row r="59" spans="1:9" ht="12.95" customHeight="1" x14ac:dyDescent="0.2">
      <c r="A59" s="5" t="s">
        <v>310</v>
      </c>
      <c r="B59" s="32" t="s">
        <v>1238</v>
      </c>
      <c r="C59" s="4" t="s">
        <v>311</v>
      </c>
      <c r="D59" s="4" t="s">
        <v>198</v>
      </c>
      <c r="E59" s="6">
        <v>1000</v>
      </c>
      <c r="F59" s="7">
        <v>4920.88</v>
      </c>
      <c r="G59" s="8">
        <v>9.4000000000000004E-3</v>
      </c>
      <c r="H59" s="14">
        <v>7.8247999999999998E-2</v>
      </c>
      <c r="I59" s="33"/>
    </row>
    <row r="60" spans="1:9" ht="12.95" customHeight="1" x14ac:dyDescent="0.2">
      <c r="A60" s="5" t="s">
        <v>304</v>
      </c>
      <c r="B60" s="32" t="s">
        <v>1235</v>
      </c>
      <c r="C60" s="4" t="s">
        <v>305</v>
      </c>
      <c r="D60" s="4" t="s">
        <v>198</v>
      </c>
      <c r="E60" s="6">
        <v>1000</v>
      </c>
      <c r="F60" s="7">
        <v>4919.32</v>
      </c>
      <c r="G60" s="8">
        <v>9.4000000000000004E-3</v>
      </c>
      <c r="H60" s="14">
        <v>7.6748999999999998E-2</v>
      </c>
      <c r="I60" s="33"/>
    </row>
    <row r="61" spans="1:9" ht="12.95" customHeight="1" x14ac:dyDescent="0.2">
      <c r="A61" s="5" t="s">
        <v>316</v>
      </c>
      <c r="B61" s="32" t="s">
        <v>1241</v>
      </c>
      <c r="C61" s="4" t="s">
        <v>317</v>
      </c>
      <c r="D61" s="4" t="s">
        <v>252</v>
      </c>
      <c r="E61" s="6">
        <v>500</v>
      </c>
      <c r="F61" s="7">
        <v>2475.0100000000002</v>
      </c>
      <c r="G61" s="8">
        <v>4.7000000000000002E-3</v>
      </c>
      <c r="H61" s="14">
        <v>8.3750000000000005E-2</v>
      </c>
      <c r="I61" s="33"/>
    </row>
    <row r="62" spans="1:9" ht="12.95" customHeight="1" x14ac:dyDescent="0.2">
      <c r="A62" s="5" t="s">
        <v>446</v>
      </c>
      <c r="B62" s="32" t="s">
        <v>1283</v>
      </c>
      <c r="C62" s="4" t="s">
        <v>447</v>
      </c>
      <c r="D62" s="4" t="s">
        <v>198</v>
      </c>
      <c r="E62" s="6">
        <v>500</v>
      </c>
      <c r="F62" s="7">
        <v>2464.9499999999998</v>
      </c>
      <c r="G62" s="8">
        <v>4.7000000000000002E-3</v>
      </c>
      <c r="H62" s="14">
        <v>7.4149000000000007E-2</v>
      </c>
      <c r="I62" s="33"/>
    </row>
    <row r="63" spans="1:9" ht="12.95" customHeight="1" x14ac:dyDescent="0.2">
      <c r="A63" s="5" t="s">
        <v>302</v>
      </c>
      <c r="B63" s="32" t="s">
        <v>1234</v>
      </c>
      <c r="C63" s="4" t="s">
        <v>303</v>
      </c>
      <c r="D63" s="4" t="s">
        <v>198</v>
      </c>
      <c r="E63" s="6">
        <v>500</v>
      </c>
      <c r="F63" s="7">
        <v>2456.64</v>
      </c>
      <c r="G63" s="8">
        <v>4.7000000000000002E-3</v>
      </c>
      <c r="H63" s="14">
        <v>7.5800999999999993E-2</v>
      </c>
      <c r="I63" s="33"/>
    </row>
    <row r="64" spans="1:9" ht="12.95" customHeight="1" x14ac:dyDescent="0.2">
      <c r="A64" s="46"/>
      <c r="B64" s="34" t="s">
        <v>128</v>
      </c>
      <c r="C64" s="1"/>
      <c r="D64" s="1"/>
      <c r="E64" s="1"/>
      <c r="F64" s="10">
        <v>17236.8</v>
      </c>
      <c r="G64" s="11">
        <v>3.2899999999999999E-2</v>
      </c>
      <c r="H64" s="12"/>
      <c r="I64" s="35"/>
    </row>
    <row r="65" spans="1:9" ht="12.95" customHeight="1" x14ac:dyDescent="0.2">
      <c r="A65" s="46"/>
      <c r="B65" s="31" t="s">
        <v>328</v>
      </c>
      <c r="C65" s="4"/>
      <c r="D65" s="4"/>
      <c r="E65" s="4"/>
      <c r="F65" s="51"/>
      <c r="G65" s="49"/>
      <c r="H65" s="49"/>
      <c r="I65" s="50"/>
    </row>
    <row r="66" spans="1:9" ht="12.95" customHeight="1" x14ac:dyDescent="0.2">
      <c r="A66" s="5" t="s">
        <v>333</v>
      </c>
      <c r="B66" s="32" t="s">
        <v>334</v>
      </c>
      <c r="C66" s="4" t="s">
        <v>335</v>
      </c>
      <c r="D66" s="4" t="s">
        <v>332</v>
      </c>
      <c r="E66" s="6">
        <v>1000000</v>
      </c>
      <c r="F66" s="7">
        <v>956.82</v>
      </c>
      <c r="G66" s="8">
        <v>1.8E-3</v>
      </c>
      <c r="H66" s="14">
        <v>5.7000000000000002E-2</v>
      </c>
      <c r="I66" s="33"/>
    </row>
    <row r="67" spans="1:9" ht="12.95" customHeight="1" x14ac:dyDescent="0.2">
      <c r="A67" s="5" t="s">
        <v>336</v>
      </c>
      <c r="B67" s="32" t="s">
        <v>337</v>
      </c>
      <c r="C67" s="4" t="s">
        <v>338</v>
      </c>
      <c r="D67" s="4" t="s">
        <v>332</v>
      </c>
      <c r="E67" s="6">
        <v>500000</v>
      </c>
      <c r="F67" s="7">
        <v>491.28</v>
      </c>
      <c r="G67" s="8">
        <v>8.9999999999999998E-4</v>
      </c>
      <c r="H67" s="14">
        <v>5.3996000000000002E-2</v>
      </c>
      <c r="I67" s="33"/>
    </row>
    <row r="68" spans="1:9" ht="12.95" customHeight="1" x14ac:dyDescent="0.2">
      <c r="A68" s="46"/>
      <c r="B68" s="34" t="s">
        <v>128</v>
      </c>
      <c r="C68" s="1"/>
      <c r="D68" s="1"/>
      <c r="E68" s="1"/>
      <c r="F68" s="10">
        <v>1448.1</v>
      </c>
      <c r="G68" s="11">
        <v>2.7000000000000001E-3</v>
      </c>
      <c r="H68" s="12"/>
      <c r="I68" s="35"/>
    </row>
    <row r="69" spans="1:9" ht="12.95" customHeight="1" x14ac:dyDescent="0.2">
      <c r="A69" s="46"/>
      <c r="B69" s="34" t="s">
        <v>165</v>
      </c>
      <c r="C69" s="13"/>
      <c r="D69" s="1"/>
      <c r="E69" s="13"/>
      <c r="F69" s="10">
        <v>25959.1</v>
      </c>
      <c r="G69" s="11">
        <v>4.9399999999999999E-2</v>
      </c>
      <c r="H69" s="12"/>
      <c r="I69" s="35"/>
    </row>
    <row r="70" spans="1:9" ht="12.95" customHeight="1" x14ac:dyDescent="0.2">
      <c r="A70" s="46"/>
      <c r="B70" s="31" t="s">
        <v>347</v>
      </c>
      <c r="C70" s="4"/>
      <c r="D70" s="4"/>
      <c r="E70" s="4"/>
      <c r="F70" s="4"/>
      <c r="G70" s="4"/>
      <c r="H70" s="49"/>
      <c r="I70" s="50"/>
    </row>
    <row r="71" spans="1:9" ht="12.95" customHeight="1" x14ac:dyDescent="0.2">
      <c r="A71" s="5" t="s">
        <v>348</v>
      </c>
      <c r="B71" s="32" t="s">
        <v>348</v>
      </c>
      <c r="C71" s="4"/>
      <c r="D71" s="4" t="s">
        <v>183</v>
      </c>
      <c r="E71" s="6"/>
      <c r="F71" s="7">
        <v>9953.61</v>
      </c>
      <c r="G71" s="8">
        <v>1.89E-2</v>
      </c>
      <c r="H71" s="14">
        <v>5.104743524110477E-2</v>
      </c>
      <c r="I71" s="33"/>
    </row>
    <row r="72" spans="1:9" ht="12.95" customHeight="1" x14ac:dyDescent="0.2">
      <c r="A72" s="46"/>
      <c r="B72" s="34" t="s">
        <v>128</v>
      </c>
      <c r="C72" s="1"/>
      <c r="D72" s="1"/>
      <c r="E72" s="1"/>
      <c r="F72" s="10">
        <v>9953.61</v>
      </c>
      <c r="G72" s="11">
        <v>1.89E-2</v>
      </c>
      <c r="H72" s="12"/>
      <c r="I72" s="35"/>
    </row>
    <row r="73" spans="1:9" ht="12.95" customHeight="1" x14ac:dyDescent="0.2">
      <c r="A73" s="46"/>
      <c r="B73" s="34" t="s">
        <v>165</v>
      </c>
      <c r="C73" s="13"/>
      <c r="D73" s="1"/>
      <c r="E73" s="13"/>
      <c r="F73" s="10">
        <v>9953.61</v>
      </c>
      <c r="G73" s="11">
        <v>1.89E-2</v>
      </c>
      <c r="H73" s="12"/>
      <c r="I73" s="35"/>
    </row>
    <row r="74" spans="1:9" ht="12.95" customHeight="1" x14ac:dyDescent="0.2">
      <c r="A74" s="46"/>
      <c r="B74" s="34" t="s">
        <v>350</v>
      </c>
      <c r="C74" s="4"/>
      <c r="D74" s="1"/>
      <c r="E74" s="4"/>
      <c r="F74" s="15">
        <v>-1130.98</v>
      </c>
      <c r="G74" s="11">
        <v>-2.0999999999999999E-3</v>
      </c>
      <c r="H74" s="12"/>
      <c r="I74" s="35"/>
    </row>
    <row r="75" spans="1:9" ht="12.95" customHeight="1" x14ac:dyDescent="0.2">
      <c r="A75" s="46"/>
      <c r="B75" s="36" t="s">
        <v>351</v>
      </c>
      <c r="C75" s="23"/>
      <c r="D75" s="23"/>
      <c r="E75" s="23"/>
      <c r="F75" s="24">
        <v>526064.31999999995</v>
      </c>
      <c r="G75" s="25">
        <v>1</v>
      </c>
      <c r="H75" s="26"/>
      <c r="I75" s="37"/>
    </row>
    <row r="76" spans="1:9" ht="12.95" customHeight="1" x14ac:dyDescent="0.2">
      <c r="A76" s="46"/>
      <c r="B76" s="3"/>
      <c r="C76" s="46"/>
      <c r="D76" s="46"/>
      <c r="E76" s="46"/>
      <c r="F76" s="46"/>
      <c r="G76" s="46"/>
      <c r="H76" s="46"/>
      <c r="I76" s="46"/>
    </row>
    <row r="77" spans="1:9" x14ac:dyDescent="0.2">
      <c r="B77" s="47" t="s">
        <v>1252</v>
      </c>
    </row>
    <row r="78" spans="1:9" x14ac:dyDescent="0.2">
      <c r="B78" s="47" t="s">
        <v>1254</v>
      </c>
    </row>
    <row r="79" spans="1:9" x14ac:dyDescent="0.2">
      <c r="B79" s="47" t="s">
        <v>1255</v>
      </c>
    </row>
    <row r="81" spans="2:6" x14ac:dyDescent="0.2">
      <c r="B81" s="137" t="s">
        <v>1420</v>
      </c>
      <c r="C81" s="138"/>
      <c r="D81" s="139"/>
      <c r="E81" s="60"/>
      <c r="F81" s="140"/>
    </row>
    <row r="82" spans="2:6" x14ac:dyDescent="0.2">
      <c r="B82" s="141" t="s">
        <v>1421</v>
      </c>
      <c r="C82" s="75"/>
      <c r="D82" s="69"/>
      <c r="E82" s="69"/>
      <c r="F82" s="142"/>
    </row>
    <row r="83" spans="2:6" ht="36" x14ac:dyDescent="0.2">
      <c r="B83" s="473" t="s">
        <v>1422</v>
      </c>
      <c r="C83" s="474" t="s">
        <v>1423</v>
      </c>
      <c r="D83" s="145" t="s">
        <v>1424</v>
      </c>
      <c r="E83" s="145" t="s">
        <v>1424</v>
      </c>
      <c r="F83" s="145" t="s">
        <v>1425</v>
      </c>
    </row>
    <row r="84" spans="2:6" x14ac:dyDescent="0.2">
      <c r="B84" s="473"/>
      <c r="C84" s="474"/>
      <c r="D84" s="145" t="s">
        <v>1426</v>
      </c>
      <c r="E84" s="145" t="s">
        <v>1427</v>
      </c>
      <c r="F84" s="145" t="s">
        <v>1426</v>
      </c>
    </row>
    <row r="85" spans="2:6" x14ac:dyDescent="0.2">
      <c r="B85" s="143" t="s">
        <v>164</v>
      </c>
      <c r="C85" s="143" t="s">
        <v>164</v>
      </c>
      <c r="D85" s="143" t="s">
        <v>164</v>
      </c>
      <c r="E85" s="143" t="s">
        <v>164</v>
      </c>
      <c r="F85" s="143" t="s">
        <v>164</v>
      </c>
    </row>
    <row r="86" spans="2:6" x14ac:dyDescent="0.2">
      <c r="B86" s="146"/>
      <c r="C86" s="147"/>
      <c r="D86" s="147"/>
      <c r="E86" s="147"/>
      <c r="F86" s="148"/>
    </row>
    <row r="87" spans="2:6" x14ac:dyDescent="0.2">
      <c r="B87" s="146" t="s">
        <v>1428</v>
      </c>
      <c r="C87" s="147"/>
      <c r="D87" s="147"/>
      <c r="E87" s="147"/>
      <c r="F87" s="148"/>
    </row>
    <row r="88" spans="2:6" x14ac:dyDescent="0.2">
      <c r="B88" s="149"/>
      <c r="C88" s="75"/>
      <c r="D88" s="75"/>
      <c r="E88" s="75"/>
      <c r="F88" s="142"/>
    </row>
    <row r="89" spans="2:6" x14ac:dyDescent="0.2">
      <c r="B89" s="149" t="s">
        <v>1559</v>
      </c>
      <c r="C89" s="64"/>
      <c r="D89" s="73"/>
      <c r="E89" s="75"/>
      <c r="F89" s="142"/>
    </row>
    <row r="90" spans="2:6" x14ac:dyDescent="0.2">
      <c r="B90" s="150" t="s">
        <v>1430</v>
      </c>
      <c r="C90" s="74">
        <v>46080</v>
      </c>
      <c r="D90" s="74">
        <v>46112</v>
      </c>
      <c r="E90" s="151"/>
      <c r="F90" s="142"/>
    </row>
    <row r="91" spans="2:6" x14ac:dyDescent="0.2">
      <c r="B91" s="150" t="s">
        <v>1560</v>
      </c>
      <c r="C91" s="150">
        <v>32.918100000000003</v>
      </c>
      <c r="D91" s="150">
        <v>30.024799999999999</v>
      </c>
      <c r="E91" s="75"/>
      <c r="F91" s="142"/>
    </row>
    <row r="92" spans="2:6" x14ac:dyDescent="0.2">
      <c r="B92" s="150" t="s">
        <v>1561</v>
      </c>
      <c r="C92" s="150">
        <v>30.425599999999999</v>
      </c>
      <c r="D92" s="76">
        <v>27.724799999999998</v>
      </c>
      <c r="E92" s="75"/>
      <c r="F92" s="152"/>
    </row>
    <row r="93" spans="2:6" x14ac:dyDescent="0.2">
      <c r="B93" s="141"/>
      <c r="C93" s="75"/>
      <c r="D93" s="75"/>
      <c r="E93" s="75"/>
      <c r="F93" s="142"/>
    </row>
    <row r="94" spans="2:6" x14ac:dyDescent="0.2">
      <c r="B94" s="149" t="s">
        <v>1671</v>
      </c>
      <c r="C94" s="154"/>
      <c r="D94" s="154"/>
      <c r="E94" s="154"/>
      <c r="F94" s="142"/>
    </row>
    <row r="95" spans="2:6" x14ac:dyDescent="0.2">
      <c r="B95" s="149"/>
      <c r="C95" s="154"/>
      <c r="D95" s="154"/>
      <c r="E95" s="154"/>
      <c r="F95" s="142"/>
    </row>
    <row r="96" spans="2:6" x14ac:dyDescent="0.2">
      <c r="B96" s="149" t="s">
        <v>1672</v>
      </c>
      <c r="C96" s="154"/>
      <c r="D96" s="154"/>
      <c r="E96" s="154"/>
      <c r="F96" s="142"/>
    </row>
    <row r="97" spans="2:6" x14ac:dyDescent="0.2">
      <c r="B97" s="149"/>
      <c r="C97" s="154"/>
      <c r="D97" s="154"/>
      <c r="E97" s="154"/>
      <c r="F97" s="142"/>
    </row>
    <row r="98" spans="2:6" x14ac:dyDescent="0.2">
      <c r="B98" s="149" t="s">
        <v>1673</v>
      </c>
      <c r="C98" s="154"/>
      <c r="D98" s="154"/>
      <c r="E98" s="154"/>
      <c r="F98" s="142"/>
    </row>
    <row r="99" spans="2:6" x14ac:dyDescent="0.2">
      <c r="B99" s="82" t="s">
        <v>1435</v>
      </c>
      <c r="C99" s="154"/>
      <c r="D99" s="154"/>
      <c r="E99" s="154"/>
      <c r="F99" s="142"/>
    </row>
    <row r="100" spans="2:6" x14ac:dyDescent="0.2">
      <c r="B100" s="82"/>
      <c r="C100" s="154"/>
      <c r="D100" s="154"/>
      <c r="E100" s="154"/>
      <c r="F100" s="142"/>
    </row>
    <row r="101" spans="2:6" x14ac:dyDescent="0.2">
      <c r="B101" s="149" t="s">
        <v>1674</v>
      </c>
      <c r="C101" s="154"/>
      <c r="D101" s="154"/>
      <c r="E101" s="154"/>
      <c r="F101" s="142"/>
    </row>
    <row r="102" spans="2:6" x14ac:dyDescent="0.2">
      <c r="B102" s="149"/>
      <c r="C102" s="154"/>
      <c r="D102" s="154"/>
      <c r="E102" s="154"/>
      <c r="F102" s="142"/>
    </row>
    <row r="103" spans="2:6" x14ac:dyDescent="0.2">
      <c r="B103" s="149" t="s">
        <v>1724</v>
      </c>
      <c r="C103" s="154"/>
      <c r="D103" s="154"/>
      <c r="E103" s="154"/>
      <c r="F103" s="142"/>
    </row>
    <row r="104" spans="2:6" x14ac:dyDescent="0.2">
      <c r="B104" s="149"/>
      <c r="C104" s="154"/>
      <c r="D104" s="154"/>
      <c r="E104" s="154"/>
      <c r="F104" s="142"/>
    </row>
    <row r="105" spans="2:6" x14ac:dyDescent="0.2">
      <c r="B105" s="149" t="s">
        <v>1725</v>
      </c>
      <c r="C105" s="154"/>
      <c r="D105" s="154"/>
      <c r="E105" s="154"/>
      <c r="F105" s="142"/>
    </row>
    <row r="106" spans="2:6" x14ac:dyDescent="0.2">
      <c r="B106" s="149"/>
      <c r="C106" s="154"/>
      <c r="D106" s="154"/>
      <c r="E106" s="154"/>
      <c r="F106" s="142"/>
    </row>
    <row r="107" spans="2:6" x14ac:dyDescent="0.2">
      <c r="B107" s="149" t="s">
        <v>1676</v>
      </c>
      <c r="C107" s="154"/>
      <c r="D107" s="154"/>
      <c r="E107" s="154"/>
      <c r="F107" s="142"/>
    </row>
    <row r="108" spans="2:6" x14ac:dyDescent="0.2">
      <c r="B108" s="149"/>
      <c r="C108" s="154"/>
      <c r="D108" s="154"/>
      <c r="E108" s="154"/>
      <c r="F108" s="142"/>
    </row>
    <row r="109" spans="2:6" x14ac:dyDescent="0.2">
      <c r="B109" s="149" t="s">
        <v>1675</v>
      </c>
      <c r="C109" s="154"/>
      <c r="D109" s="154"/>
      <c r="E109" s="154"/>
      <c r="F109" s="142"/>
    </row>
    <row r="110" spans="2:6" x14ac:dyDescent="0.2">
      <c r="B110" s="149"/>
      <c r="C110" s="154"/>
      <c r="D110" s="154"/>
      <c r="E110" s="154"/>
      <c r="F110" s="173"/>
    </row>
    <row r="111" spans="2:6" x14ac:dyDescent="0.2">
      <c r="B111" s="149" t="s">
        <v>1562</v>
      </c>
      <c r="C111" s="154"/>
      <c r="D111" s="154"/>
      <c r="E111" s="154"/>
      <c r="F111" s="66"/>
    </row>
    <row r="112" spans="2:6" x14ac:dyDescent="0.2">
      <c r="B112" s="177"/>
      <c r="C112" s="178"/>
      <c r="D112" s="178"/>
      <c r="E112" s="178"/>
      <c r="F112" s="179"/>
    </row>
    <row r="115" spans="2:12" ht="12" customHeight="1" x14ac:dyDescent="0.2">
      <c r="B115" s="478" t="s">
        <v>1533</v>
      </c>
      <c r="C115" s="478"/>
      <c r="D115" s="478"/>
      <c r="E115" s="478"/>
      <c r="F115" s="478"/>
      <c r="G115" s="478"/>
      <c r="H115" s="478"/>
      <c r="I115" s="478"/>
      <c r="J115" s="478"/>
      <c r="K115" s="116"/>
      <c r="L115" s="116"/>
    </row>
    <row r="116" spans="2:12" ht="14.25" customHeight="1" x14ac:dyDescent="0.2">
      <c r="B116" s="479" t="s">
        <v>1459</v>
      </c>
      <c r="C116" s="480" t="s">
        <v>1460</v>
      </c>
      <c r="D116" s="480"/>
      <c r="E116" s="107" t="s">
        <v>1461</v>
      </c>
      <c r="F116" s="107" t="s">
        <v>1462</v>
      </c>
      <c r="G116" s="486" t="s">
        <v>1463</v>
      </c>
      <c r="H116" s="487"/>
      <c r="I116" s="487"/>
      <c r="J116" s="488"/>
    </row>
    <row r="117" spans="2:12" ht="36" x14ac:dyDescent="0.2">
      <c r="B117" s="479"/>
      <c r="C117" s="108" t="s">
        <v>1563</v>
      </c>
      <c r="D117" s="108" t="s">
        <v>1564</v>
      </c>
      <c r="E117" s="108" t="s">
        <v>1466</v>
      </c>
      <c r="F117" s="108" t="s">
        <v>1467</v>
      </c>
      <c r="G117" s="108" t="s">
        <v>1563</v>
      </c>
      <c r="H117" s="108" t="s">
        <v>1564</v>
      </c>
      <c r="I117" s="108" t="s">
        <v>1466</v>
      </c>
      <c r="J117" s="108" t="s">
        <v>1467</v>
      </c>
    </row>
    <row r="118" spans="2:12" x14ac:dyDescent="0.2">
      <c r="B118" s="109" t="s">
        <v>1565</v>
      </c>
      <c r="C118" s="110">
        <v>0.16464750877459577</v>
      </c>
      <c r="D118" s="110">
        <v>0.17860378557743672</v>
      </c>
      <c r="E118" s="110">
        <v>0.13958986495534909</v>
      </c>
      <c r="F118" s="110">
        <v>0.12019396535446547</v>
      </c>
      <c r="G118" s="111">
        <v>27724.799999999999</v>
      </c>
      <c r="H118" s="111">
        <v>30024.799999999999</v>
      </c>
      <c r="I118" s="111">
        <v>23970.180763597447</v>
      </c>
      <c r="J118" s="111">
        <v>21369.381759397358</v>
      </c>
    </row>
    <row r="119" spans="2:12" x14ac:dyDescent="0.2">
      <c r="B119" s="112" t="s">
        <v>1645</v>
      </c>
      <c r="C119" s="110">
        <v>-7.7699971723690697E-2</v>
      </c>
      <c r="D119" s="110">
        <v>-6.757306518181283E-2</v>
      </c>
      <c r="E119" s="110">
        <v>-2.8839608423928742E-2</v>
      </c>
      <c r="F119" s="110">
        <v>-3.9899777714890838E-2</v>
      </c>
      <c r="G119" s="111">
        <v>9223.0002827630924</v>
      </c>
      <c r="H119" s="111">
        <v>9324.2693481818715</v>
      </c>
      <c r="I119" s="111">
        <v>9711.603915760712</v>
      </c>
      <c r="J119" s="111">
        <v>9601.0022228510916</v>
      </c>
    </row>
    <row r="120" spans="2:12" x14ac:dyDescent="0.2">
      <c r="B120" s="112" t="s">
        <v>1646</v>
      </c>
      <c r="C120" s="110">
        <v>0.12051547585058309</v>
      </c>
      <c r="D120" s="110">
        <v>0.13282040777402138</v>
      </c>
      <c r="E120" s="110">
        <v>0.13206012262739542</v>
      </c>
      <c r="F120" s="110">
        <v>0.10019078536840675</v>
      </c>
      <c r="G120" s="111">
        <v>14073.073916530459</v>
      </c>
      <c r="H120" s="111">
        <v>14542.249087016748</v>
      </c>
      <c r="I120" s="111">
        <v>14512.962227449119</v>
      </c>
      <c r="J120" s="111">
        <v>13320.410859469184</v>
      </c>
    </row>
    <row r="121" spans="2:12" x14ac:dyDescent="0.2">
      <c r="B121" s="112" t="s">
        <v>1647</v>
      </c>
      <c r="C121" s="189">
        <v>0.13687742994105223</v>
      </c>
      <c r="D121" s="189">
        <v>0.15044444780366617</v>
      </c>
      <c r="E121" s="189">
        <v>0.11875372060709033</v>
      </c>
      <c r="F121" s="189">
        <v>0.10005682107825953</v>
      </c>
      <c r="G121" s="111">
        <v>18998.567816296742</v>
      </c>
      <c r="H121" s="111">
        <v>20160.208418663675</v>
      </c>
      <c r="I121" s="111">
        <v>17530.971446644911</v>
      </c>
      <c r="J121" s="111">
        <v>16113.469357269665</v>
      </c>
    </row>
    <row r="122" spans="2:12" x14ac:dyDescent="0.2">
      <c r="B122" s="113"/>
      <c r="C122" s="114"/>
      <c r="D122" s="114"/>
      <c r="E122" s="114"/>
      <c r="F122" s="114"/>
      <c r="G122" s="114"/>
      <c r="H122" s="115"/>
      <c r="I122" s="115"/>
      <c r="J122" s="115"/>
      <c r="K122" s="115"/>
      <c r="L122" s="116"/>
    </row>
    <row r="123" spans="2:12" x14ac:dyDescent="0.2"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</row>
    <row r="124" spans="2:12" ht="12" customHeight="1" x14ac:dyDescent="0.2">
      <c r="B124" s="478" t="s">
        <v>1566</v>
      </c>
      <c r="C124" s="478"/>
      <c r="D124" s="478"/>
      <c r="E124" s="478"/>
      <c r="F124" s="478"/>
      <c r="G124" s="113"/>
      <c r="H124" s="116"/>
      <c r="I124" s="116"/>
      <c r="J124" s="116"/>
      <c r="K124" s="116"/>
      <c r="L124" s="116"/>
    </row>
    <row r="125" spans="2:12" ht="36" x14ac:dyDescent="0.2">
      <c r="B125" s="117"/>
      <c r="C125" s="118" t="s">
        <v>1565</v>
      </c>
      <c r="D125" s="108" t="s">
        <v>1645</v>
      </c>
      <c r="E125" s="108" t="s">
        <v>1646</v>
      </c>
      <c r="F125" s="108" t="s">
        <v>1647</v>
      </c>
      <c r="G125" s="116"/>
      <c r="H125" s="116"/>
      <c r="I125" s="116"/>
      <c r="J125" s="116"/>
      <c r="K125" s="116"/>
      <c r="L125" s="116"/>
    </row>
    <row r="126" spans="2:12" x14ac:dyDescent="0.2">
      <c r="B126" s="109" t="s">
        <v>1470</v>
      </c>
      <c r="C126" s="88">
        <v>810000</v>
      </c>
      <c r="D126" s="88">
        <v>120000</v>
      </c>
      <c r="E126" s="88">
        <v>360000</v>
      </c>
      <c r="F126" s="88">
        <v>600000</v>
      </c>
      <c r="G126" s="121"/>
      <c r="H126" s="116"/>
      <c r="I126" s="116"/>
      <c r="J126" s="116"/>
      <c r="K126" s="116"/>
      <c r="L126" s="116"/>
    </row>
    <row r="127" spans="2:12" x14ac:dyDescent="0.2">
      <c r="B127" s="109" t="s">
        <v>1471</v>
      </c>
      <c r="C127" s="119">
        <v>1266276.3648140701</v>
      </c>
      <c r="D127" s="119">
        <v>106508.51743268099</v>
      </c>
      <c r="E127" s="119">
        <v>365860.34737643501</v>
      </c>
      <c r="F127" s="119">
        <v>733470.81519477</v>
      </c>
      <c r="G127" s="121"/>
      <c r="H127" s="116"/>
      <c r="I127" s="116"/>
      <c r="J127" s="116"/>
      <c r="K127" s="116"/>
      <c r="L127" s="116"/>
    </row>
    <row r="128" spans="2:12" x14ac:dyDescent="0.2">
      <c r="B128" s="109" t="s">
        <v>1472</v>
      </c>
      <c r="C128" s="120">
        <v>13.0452117217114</v>
      </c>
      <c r="D128" s="120">
        <v>-20.258026772920601</v>
      </c>
      <c r="E128" s="120">
        <v>1.0536916049859</v>
      </c>
      <c r="F128" s="120">
        <v>7.9752727561235703</v>
      </c>
      <c r="G128" s="121"/>
      <c r="H128" s="121"/>
      <c r="I128" s="121"/>
      <c r="J128" s="116"/>
      <c r="K128" s="116"/>
      <c r="L128" s="116"/>
    </row>
    <row r="129" spans="2:12" x14ac:dyDescent="0.2">
      <c r="B129" s="109" t="s">
        <v>1473</v>
      </c>
      <c r="C129" s="120">
        <v>11.8163419842466</v>
      </c>
      <c r="D129" s="120">
        <v>-18.155506556697102</v>
      </c>
      <c r="E129" s="120">
        <v>1.3818837754173601</v>
      </c>
      <c r="F129" s="120">
        <v>7.3791349583620702</v>
      </c>
      <c r="G129" s="121"/>
      <c r="H129" s="121"/>
      <c r="I129" s="121"/>
      <c r="J129" s="116"/>
      <c r="K129" s="116"/>
      <c r="L129" s="116"/>
    </row>
    <row r="130" spans="2:12" x14ac:dyDescent="0.2">
      <c r="B130" s="109" t="s">
        <v>1474</v>
      </c>
      <c r="C130" s="120">
        <v>9.89826651517971</v>
      </c>
      <c r="D130" s="120">
        <v>-18.417981705665401</v>
      </c>
      <c r="E130" s="120">
        <v>0.47816267782716498</v>
      </c>
      <c r="F130" s="120">
        <v>5.8129352439752804</v>
      </c>
      <c r="G130" s="121"/>
      <c r="H130" s="121"/>
      <c r="I130" s="121"/>
      <c r="J130" s="116"/>
      <c r="K130" s="116"/>
      <c r="L130" s="116"/>
    </row>
    <row r="131" spans="2:12" x14ac:dyDescent="0.2"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</row>
    <row r="132" spans="2:12" ht="12" customHeight="1" x14ac:dyDescent="0.2">
      <c r="B132" s="478" t="s">
        <v>1567</v>
      </c>
      <c r="C132" s="478"/>
      <c r="D132" s="478"/>
      <c r="E132" s="478"/>
      <c r="F132" s="478"/>
      <c r="G132" s="113"/>
      <c r="H132" s="116"/>
      <c r="I132" s="116"/>
      <c r="J132" s="116"/>
      <c r="K132" s="116"/>
      <c r="L132" s="116"/>
    </row>
    <row r="133" spans="2:12" ht="36" x14ac:dyDescent="0.2">
      <c r="B133" s="117"/>
      <c r="C133" s="118" t="s">
        <v>1565</v>
      </c>
      <c r="D133" s="108" t="s">
        <v>1645</v>
      </c>
      <c r="E133" s="108" t="s">
        <v>1646</v>
      </c>
      <c r="F133" s="108" t="s">
        <v>1647</v>
      </c>
      <c r="G133" s="116"/>
      <c r="H133" s="116"/>
      <c r="I133" s="116"/>
      <c r="J133" s="116"/>
      <c r="K133" s="116"/>
      <c r="L133" s="116"/>
    </row>
    <row r="134" spans="2:12" x14ac:dyDescent="0.2">
      <c r="B134" s="109" t="s">
        <v>1470</v>
      </c>
      <c r="C134" s="88">
        <v>810000</v>
      </c>
      <c r="D134" s="88">
        <v>120000</v>
      </c>
      <c r="E134" s="88">
        <v>360000</v>
      </c>
      <c r="F134" s="88">
        <v>600000</v>
      </c>
      <c r="G134" s="121"/>
      <c r="H134" s="116"/>
      <c r="I134" s="116"/>
      <c r="J134" s="116"/>
      <c r="K134" s="116"/>
      <c r="L134" s="116"/>
    </row>
    <row r="135" spans="2:12" x14ac:dyDescent="0.2">
      <c r="B135" s="109" t="s">
        <v>1471</v>
      </c>
      <c r="C135" s="119">
        <v>1329881.4623801999</v>
      </c>
      <c r="D135" s="119">
        <v>107136.282093962</v>
      </c>
      <c r="E135" s="119">
        <v>372567.088422656</v>
      </c>
      <c r="F135" s="119">
        <v>757980.95087696903</v>
      </c>
      <c r="G135" s="121"/>
      <c r="H135" s="116"/>
      <c r="I135" s="116"/>
      <c r="J135" s="116"/>
      <c r="K135" s="116"/>
      <c r="L135" s="116"/>
    </row>
    <row r="136" spans="2:12" x14ac:dyDescent="0.2">
      <c r="B136" s="109" t="s">
        <v>1472</v>
      </c>
      <c r="C136" s="120">
        <v>14.476352966221899</v>
      </c>
      <c r="D136" s="120">
        <v>-19.348012160653202</v>
      </c>
      <c r="E136" s="120">
        <v>2.2458292408107901</v>
      </c>
      <c r="F136" s="120">
        <v>9.2929138837636192</v>
      </c>
      <c r="G136" s="121"/>
      <c r="H136" s="121"/>
      <c r="I136" s="121"/>
      <c r="J136" s="116"/>
      <c r="K136" s="116"/>
      <c r="L136" s="116"/>
    </row>
    <row r="137" spans="2:12" x14ac:dyDescent="0.2">
      <c r="B137" s="109" t="s">
        <v>1473</v>
      </c>
      <c r="C137" s="120">
        <v>11.8163419842466</v>
      </c>
      <c r="D137" s="120">
        <v>-18.155506556697102</v>
      </c>
      <c r="E137" s="120">
        <v>1.3818837754173601</v>
      </c>
      <c r="F137" s="120">
        <v>7.3791349583620702</v>
      </c>
      <c r="G137" s="121"/>
      <c r="H137" s="121"/>
      <c r="I137" s="121"/>
      <c r="J137" s="116"/>
      <c r="K137" s="116"/>
      <c r="L137" s="116"/>
    </row>
    <row r="138" spans="2:12" x14ac:dyDescent="0.2">
      <c r="B138" s="109" t="s">
        <v>1474</v>
      </c>
      <c r="C138" s="120">
        <v>9.89826651517971</v>
      </c>
      <c r="D138" s="120">
        <v>-18.417981705665401</v>
      </c>
      <c r="E138" s="120">
        <v>0.47816267782716498</v>
      </c>
      <c r="F138" s="120">
        <v>5.8129352439752804</v>
      </c>
      <c r="G138" s="121"/>
      <c r="H138" s="121"/>
      <c r="I138" s="121"/>
      <c r="J138" s="116"/>
      <c r="K138" s="116"/>
      <c r="L138" s="116"/>
    </row>
    <row r="139" spans="2:12" x14ac:dyDescent="0.2">
      <c r="B139" s="113"/>
      <c r="C139" s="121"/>
      <c r="D139" s="121"/>
      <c r="E139" s="121"/>
      <c r="F139" s="121"/>
      <c r="G139" s="121"/>
      <c r="H139" s="116"/>
      <c r="I139" s="116"/>
      <c r="J139" s="116"/>
      <c r="K139" s="116"/>
      <c r="L139" s="116"/>
    </row>
    <row r="140" spans="2:12" x14ac:dyDescent="0.2">
      <c r="B140" s="117" t="s">
        <v>1476</v>
      </c>
      <c r="C140" s="117"/>
      <c r="D140" s="121"/>
      <c r="E140" s="121"/>
      <c r="F140" s="121"/>
      <c r="G140" s="121"/>
      <c r="H140" s="116"/>
      <c r="I140" s="116"/>
      <c r="J140" s="116"/>
      <c r="K140" s="116"/>
      <c r="L140" s="116"/>
    </row>
    <row r="141" spans="2:12" x14ac:dyDescent="0.2">
      <c r="B141" s="88" t="s">
        <v>1477</v>
      </c>
      <c r="C141" s="125">
        <v>0.11134923088443292</v>
      </c>
      <c r="D141" s="121"/>
      <c r="E141" s="121"/>
      <c r="F141" s="121"/>
      <c r="G141" s="121"/>
      <c r="H141" s="116"/>
      <c r="I141" s="116"/>
      <c r="J141" s="116"/>
      <c r="K141" s="116"/>
      <c r="L141" s="116"/>
    </row>
    <row r="142" spans="2:12" x14ac:dyDescent="0.2">
      <c r="B142" s="88" t="s">
        <v>1478</v>
      </c>
      <c r="C142" s="125">
        <v>0.14670931553681582</v>
      </c>
      <c r="D142" s="121"/>
      <c r="E142" s="121"/>
      <c r="F142" s="121"/>
      <c r="G142" s="121"/>
      <c r="H142" s="116"/>
      <c r="I142" s="116"/>
      <c r="J142" s="116"/>
      <c r="K142" s="116"/>
      <c r="L142" s="116"/>
    </row>
    <row r="143" spans="2:12" x14ac:dyDescent="0.2">
      <c r="B143" s="88" t="s">
        <v>1479</v>
      </c>
      <c r="C143" s="190">
        <v>0.45559091653364781</v>
      </c>
      <c r="D143" s="121"/>
      <c r="E143" s="121"/>
      <c r="F143" s="121"/>
      <c r="G143" s="121"/>
      <c r="H143" s="116"/>
      <c r="I143" s="116"/>
      <c r="J143" s="116"/>
      <c r="K143" s="116"/>
      <c r="L143" s="116"/>
    </row>
    <row r="144" spans="2:12" x14ac:dyDescent="0.2">
      <c r="B144" s="88" t="s">
        <v>1480</v>
      </c>
      <c r="C144" s="190">
        <v>0.72040552935204194</v>
      </c>
      <c r="D144" s="121"/>
      <c r="E144" s="121"/>
      <c r="F144" s="121"/>
      <c r="G144" s="121"/>
      <c r="H144" s="116"/>
      <c r="I144" s="116"/>
      <c r="J144" s="116"/>
      <c r="K144" s="116"/>
      <c r="L144" s="116"/>
    </row>
    <row r="145" spans="2:12" x14ac:dyDescent="0.2">
      <c r="B145" s="88" t="s">
        <v>1481</v>
      </c>
      <c r="C145" s="190">
        <v>-0.27586011988277126</v>
      </c>
      <c r="D145" s="121"/>
      <c r="E145" s="121"/>
      <c r="F145" s="121"/>
      <c r="G145" s="121"/>
      <c r="H145" s="116"/>
      <c r="I145" s="116"/>
      <c r="J145" s="116"/>
      <c r="K145" s="116"/>
      <c r="L145" s="116"/>
    </row>
    <row r="146" spans="2:12" x14ac:dyDescent="0.2">
      <c r="B146" s="88" t="s">
        <v>1482</v>
      </c>
      <c r="C146" s="190">
        <v>7.0418252063644812E-2</v>
      </c>
      <c r="D146" s="121"/>
      <c r="E146" s="121"/>
      <c r="F146" s="121"/>
      <c r="G146" s="121"/>
      <c r="H146" s="116"/>
      <c r="I146" s="116"/>
      <c r="J146" s="116"/>
      <c r="K146" s="116"/>
      <c r="L146" s="116"/>
    </row>
    <row r="147" spans="2:12" x14ac:dyDescent="0.2">
      <c r="B147" s="123" t="s">
        <v>1483</v>
      </c>
      <c r="C147" s="124">
        <v>-4.415180053102663E-2</v>
      </c>
      <c r="D147" s="121"/>
      <c r="E147" s="121"/>
      <c r="F147" s="121"/>
      <c r="G147" s="121"/>
      <c r="H147" s="116"/>
      <c r="I147" s="116"/>
      <c r="J147" s="116"/>
      <c r="K147" s="116"/>
      <c r="L147" s="116"/>
    </row>
    <row r="148" spans="2:12" x14ac:dyDescent="0.2">
      <c r="B148" s="109" t="s">
        <v>1484</v>
      </c>
      <c r="C148" s="125">
        <v>6.9800000000000001E-2</v>
      </c>
      <c r="D148" s="116"/>
      <c r="E148" s="116"/>
      <c r="F148" s="116"/>
      <c r="G148" s="116"/>
      <c r="H148" s="116"/>
      <c r="I148" s="116"/>
      <c r="J148" s="116"/>
      <c r="K148" s="116"/>
      <c r="L148" s="116"/>
    </row>
    <row r="149" spans="2:12" x14ac:dyDescent="0.2">
      <c r="B149" s="113"/>
      <c r="C149" s="122"/>
      <c r="D149" s="116"/>
      <c r="E149" s="116"/>
      <c r="F149" s="116"/>
      <c r="G149" s="116"/>
      <c r="H149" s="116"/>
      <c r="I149" s="116"/>
      <c r="J149" s="116"/>
      <c r="K149" s="116"/>
      <c r="L149" s="116"/>
    </row>
    <row r="150" spans="2:12" x14ac:dyDescent="0.2">
      <c r="B150" s="107" t="s">
        <v>1649</v>
      </c>
      <c r="C150" s="117"/>
      <c r="D150" s="116"/>
      <c r="E150" s="116"/>
      <c r="F150" s="116"/>
      <c r="G150" s="116"/>
      <c r="H150" s="116"/>
      <c r="I150" s="116"/>
      <c r="J150" s="116"/>
      <c r="K150" s="116"/>
      <c r="L150" s="116"/>
    </row>
    <row r="151" spans="2:12" x14ac:dyDescent="0.2">
      <c r="B151" s="88" t="s">
        <v>1485</v>
      </c>
      <c r="C151" s="126">
        <v>0.20794040576464845</v>
      </c>
      <c r="D151" s="116"/>
      <c r="E151" s="116"/>
      <c r="F151" s="116"/>
      <c r="G151" s="116"/>
      <c r="H151" s="116"/>
      <c r="I151" s="116"/>
      <c r="J151" s="116"/>
      <c r="K151" s="116"/>
      <c r="L151" s="116"/>
    </row>
    <row r="152" spans="2:12" x14ac:dyDescent="0.2"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</row>
    <row r="153" spans="2:12" x14ac:dyDescent="0.2">
      <c r="B153" s="127" t="s">
        <v>1486</v>
      </c>
    </row>
    <row r="154" spans="2:12" x14ac:dyDescent="0.2">
      <c r="B154" s="47" t="s">
        <v>1568</v>
      </c>
    </row>
    <row r="155" spans="2:12" x14ac:dyDescent="0.2">
      <c r="B155" s="47" t="s">
        <v>1569</v>
      </c>
    </row>
    <row r="156" spans="2:12" x14ac:dyDescent="0.2">
      <c r="B156" s="47" t="s">
        <v>1489</v>
      </c>
    </row>
    <row r="157" spans="2:12" x14ac:dyDescent="0.2">
      <c r="B157" s="127"/>
    </row>
    <row r="159" spans="2:12" ht="14.25" customHeight="1" x14ac:dyDescent="0.2">
      <c r="B159" s="128" t="s">
        <v>1490</v>
      </c>
      <c r="C159" s="485" t="s">
        <v>1491</v>
      </c>
      <c r="D159" s="481"/>
    </row>
    <row r="160" spans="2:12" x14ac:dyDescent="0.2">
      <c r="B160" s="129"/>
      <c r="C160" s="481" t="s">
        <v>1492</v>
      </c>
      <c r="D160" s="481"/>
    </row>
    <row r="161" spans="2:2" x14ac:dyDescent="0.2">
      <c r="B161" s="129"/>
    </row>
    <row r="162" spans="2:2" x14ac:dyDescent="0.2">
      <c r="B162" s="129"/>
    </row>
    <row r="163" spans="2:2" x14ac:dyDescent="0.2">
      <c r="B163" s="129"/>
    </row>
    <row r="164" spans="2:2" x14ac:dyDescent="0.2">
      <c r="B164" s="129"/>
    </row>
    <row r="165" spans="2:2" x14ac:dyDescent="0.2">
      <c r="B165" s="129"/>
    </row>
    <row r="166" spans="2:2" x14ac:dyDescent="0.2">
      <c r="B166" s="129"/>
    </row>
    <row r="167" spans="2:2" x14ac:dyDescent="0.2">
      <c r="B167" s="129"/>
    </row>
    <row r="168" spans="2:2" x14ac:dyDescent="0.2">
      <c r="B168" s="129"/>
    </row>
    <row r="169" spans="2:2" x14ac:dyDescent="0.2">
      <c r="B169" s="127"/>
    </row>
  </sheetData>
  <mergeCells count="10">
    <mergeCell ref="B124:F124"/>
    <mergeCell ref="B132:F132"/>
    <mergeCell ref="C159:D159"/>
    <mergeCell ref="C160:D160"/>
    <mergeCell ref="B83:B84"/>
    <mergeCell ref="C83:C84"/>
    <mergeCell ref="B115:J115"/>
    <mergeCell ref="B116:B117"/>
    <mergeCell ref="C116:D116"/>
    <mergeCell ref="G116:J116"/>
  </mergeCell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298"/>
  <sheetViews>
    <sheetView topLeftCell="A156" workbookViewId="0">
      <selection activeCell="B175" sqref="B175:E178"/>
    </sheetView>
  </sheetViews>
  <sheetFormatPr defaultRowHeight="12" x14ac:dyDescent="0.2"/>
  <cols>
    <col min="1" max="1" width="3.28515625" style="47" customWidth="1"/>
    <col min="2" max="2" width="50" style="47" customWidth="1"/>
    <col min="3" max="3" width="22.42578125" style="47" customWidth="1"/>
    <col min="4" max="4" width="23.42578125" style="47" bestFit="1" customWidth="1"/>
    <col min="5" max="5" width="13.42578125" style="47" bestFit="1" customWidth="1"/>
    <col min="6" max="6" width="17.140625" style="47" customWidth="1"/>
    <col min="7" max="7" width="13.28515625" style="47" customWidth="1"/>
    <col min="8" max="8" width="10.28515625" style="47" customWidth="1"/>
    <col min="9" max="9" width="14.140625" style="47" customWidth="1"/>
    <col min="10" max="16384" width="9.140625" style="47"/>
  </cols>
  <sheetData>
    <row r="1" spans="1:9" ht="15.95" customHeight="1" x14ac:dyDescent="0.2">
      <c r="A1" s="46"/>
      <c r="B1" s="22" t="s">
        <v>1187</v>
      </c>
      <c r="C1" s="46"/>
      <c r="D1" s="46"/>
      <c r="E1" s="46"/>
      <c r="F1" s="46"/>
      <c r="G1" s="46"/>
      <c r="H1" s="46"/>
      <c r="I1" s="46"/>
    </row>
    <row r="2" spans="1:9" ht="12.95" customHeight="1" x14ac:dyDescent="0.2">
      <c r="A2" s="46"/>
      <c r="B2" s="2"/>
      <c r="C2" s="46"/>
      <c r="D2" s="46"/>
      <c r="E2" s="46"/>
      <c r="F2" s="46"/>
      <c r="G2" s="46"/>
      <c r="H2" s="46"/>
      <c r="I2" s="46"/>
    </row>
    <row r="3" spans="1:9" ht="12.95" customHeight="1" x14ac:dyDescent="0.2">
      <c r="A3" s="3" t="s">
        <v>0</v>
      </c>
      <c r="B3" s="48" t="s">
        <v>1</v>
      </c>
      <c r="C3" s="46"/>
      <c r="D3" s="46"/>
      <c r="E3" s="46"/>
      <c r="F3" s="46"/>
      <c r="G3" s="46"/>
      <c r="H3" s="46"/>
      <c r="I3" s="46"/>
    </row>
    <row r="4" spans="1:9" ht="27.95" customHeight="1" x14ac:dyDescent="0.2">
      <c r="A4" s="46"/>
      <c r="B4" s="27" t="s">
        <v>2</v>
      </c>
      <c r="C4" s="28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30" t="s">
        <v>9</v>
      </c>
    </row>
    <row r="5" spans="1:9" ht="12.95" customHeight="1" x14ac:dyDescent="0.2">
      <c r="A5" s="46"/>
      <c r="B5" s="31" t="s">
        <v>10</v>
      </c>
      <c r="C5" s="4"/>
      <c r="D5" s="4"/>
      <c r="E5" s="4"/>
      <c r="F5" s="4"/>
      <c r="G5" s="4"/>
      <c r="H5" s="49"/>
      <c r="I5" s="50"/>
    </row>
    <row r="6" spans="1:9" ht="12.95" customHeight="1" x14ac:dyDescent="0.2">
      <c r="A6" s="46"/>
      <c r="B6" s="31" t="s">
        <v>11</v>
      </c>
      <c r="C6" s="4"/>
      <c r="D6" s="4"/>
      <c r="E6" s="4"/>
      <c r="F6" s="51"/>
      <c r="G6" s="49"/>
      <c r="H6" s="49"/>
      <c r="I6" s="50"/>
    </row>
    <row r="7" spans="1:9" ht="12.95" customHeight="1" x14ac:dyDescent="0.2">
      <c r="A7" s="5" t="s">
        <v>20</v>
      </c>
      <c r="B7" s="32" t="s">
        <v>21</v>
      </c>
      <c r="C7" s="4" t="s">
        <v>22</v>
      </c>
      <c r="D7" s="4" t="s">
        <v>23</v>
      </c>
      <c r="E7" s="6">
        <v>1684330</v>
      </c>
      <c r="F7" s="7">
        <v>7587.06</v>
      </c>
      <c r="G7" s="8">
        <v>2.3099999999999999E-2</v>
      </c>
      <c r="H7" s="9"/>
      <c r="I7" s="33"/>
    </row>
    <row r="8" spans="1:9" ht="12.95" customHeight="1" x14ac:dyDescent="0.2">
      <c r="A8" s="5" t="s">
        <v>16</v>
      </c>
      <c r="B8" s="32" t="s">
        <v>17</v>
      </c>
      <c r="C8" s="4" t="s">
        <v>18</v>
      </c>
      <c r="D8" s="4" t="s">
        <v>19</v>
      </c>
      <c r="E8" s="6">
        <v>2389921</v>
      </c>
      <c r="F8" s="7">
        <v>7076.56</v>
      </c>
      <c r="G8" s="8">
        <v>2.1600000000000001E-2</v>
      </c>
      <c r="H8" s="9"/>
      <c r="I8" s="33"/>
    </row>
    <row r="9" spans="1:9" ht="12.95" customHeight="1" x14ac:dyDescent="0.2">
      <c r="A9" s="5" t="s">
        <v>27</v>
      </c>
      <c r="B9" s="32" t="s">
        <v>28</v>
      </c>
      <c r="C9" s="4" t="s">
        <v>29</v>
      </c>
      <c r="D9" s="4" t="s">
        <v>30</v>
      </c>
      <c r="E9" s="6">
        <v>2231241</v>
      </c>
      <c r="F9" s="7">
        <v>6419.28</v>
      </c>
      <c r="G9" s="8">
        <v>1.9599999999999999E-2</v>
      </c>
      <c r="H9" s="9"/>
      <c r="I9" s="33"/>
    </row>
    <row r="10" spans="1:9" ht="12.95" customHeight="1" x14ac:dyDescent="0.2">
      <c r="A10" s="5" t="s">
        <v>448</v>
      </c>
      <c r="B10" s="32" t="s">
        <v>449</v>
      </c>
      <c r="C10" s="4" t="s">
        <v>450</v>
      </c>
      <c r="D10" s="4" t="s">
        <v>124</v>
      </c>
      <c r="E10" s="6">
        <v>2347848</v>
      </c>
      <c r="F10" s="7">
        <v>5833.23</v>
      </c>
      <c r="G10" s="8">
        <v>1.78E-2</v>
      </c>
      <c r="H10" s="9"/>
      <c r="I10" s="33"/>
    </row>
    <row r="11" spans="1:9" ht="12.95" customHeight="1" x14ac:dyDescent="0.2">
      <c r="A11" s="5" t="s">
        <v>451</v>
      </c>
      <c r="B11" s="32" t="s">
        <v>452</v>
      </c>
      <c r="C11" s="4" t="s">
        <v>453</v>
      </c>
      <c r="D11" s="4" t="s">
        <v>34</v>
      </c>
      <c r="E11" s="6">
        <v>939396</v>
      </c>
      <c r="F11" s="7">
        <v>2866.1</v>
      </c>
      <c r="G11" s="8">
        <v>8.6999999999999994E-3</v>
      </c>
      <c r="H11" s="9"/>
      <c r="I11" s="33"/>
    </row>
    <row r="12" spans="1:9" ht="12.95" customHeight="1" x14ac:dyDescent="0.2">
      <c r="A12" s="5" t="s">
        <v>114</v>
      </c>
      <c r="B12" s="32" t="s">
        <v>115</v>
      </c>
      <c r="C12" s="4" t="s">
        <v>116</v>
      </c>
      <c r="D12" s="4" t="s">
        <v>117</v>
      </c>
      <c r="E12" s="6">
        <v>62212</v>
      </c>
      <c r="F12" s="7">
        <v>2058.5300000000002</v>
      </c>
      <c r="G12" s="8">
        <v>6.3E-3</v>
      </c>
      <c r="H12" s="9"/>
      <c r="I12" s="33"/>
    </row>
    <row r="13" spans="1:9" ht="12.95" customHeight="1" x14ac:dyDescent="0.2">
      <c r="A13" s="5" t="s">
        <v>108</v>
      </c>
      <c r="B13" s="32" t="s">
        <v>109</v>
      </c>
      <c r="C13" s="4" t="s">
        <v>110</v>
      </c>
      <c r="D13" s="4" t="s">
        <v>52</v>
      </c>
      <c r="E13" s="6">
        <v>60870</v>
      </c>
      <c r="F13" s="7">
        <v>254.53</v>
      </c>
      <c r="G13" s="8">
        <v>8.0000000000000004E-4</v>
      </c>
      <c r="H13" s="9"/>
      <c r="I13" s="33"/>
    </row>
    <row r="14" spans="1:9" ht="12.95" customHeight="1" x14ac:dyDescent="0.2">
      <c r="A14" s="46"/>
      <c r="B14" s="34" t="s">
        <v>128</v>
      </c>
      <c r="C14" s="1"/>
      <c r="D14" s="1"/>
      <c r="E14" s="1"/>
      <c r="F14" s="10">
        <f>SUM(F7:F13)</f>
        <v>32095.289999999997</v>
      </c>
      <c r="G14" s="11">
        <f>SUM(G7:G13)</f>
        <v>9.7899999999999987E-2</v>
      </c>
      <c r="H14" s="12"/>
      <c r="I14" s="35"/>
    </row>
    <row r="15" spans="1:9" ht="12.95" customHeight="1" x14ac:dyDescent="0.2">
      <c r="A15" s="46"/>
      <c r="B15" s="31" t="s">
        <v>129</v>
      </c>
      <c r="C15" s="4"/>
      <c r="D15" s="4"/>
      <c r="E15" s="4"/>
      <c r="F15" s="51"/>
      <c r="G15" s="49"/>
      <c r="H15" s="49"/>
      <c r="I15" s="50"/>
    </row>
    <row r="16" spans="1:9" ht="12.95" customHeight="1" x14ac:dyDescent="0.2">
      <c r="A16" s="5" t="s">
        <v>49</v>
      </c>
      <c r="B16" s="32" t="s">
        <v>50</v>
      </c>
      <c r="C16" s="4" t="s">
        <v>51</v>
      </c>
      <c r="D16" s="4" t="s">
        <v>52</v>
      </c>
      <c r="E16" s="6">
        <v>45600</v>
      </c>
      <c r="F16" s="7">
        <v>812.77</v>
      </c>
      <c r="G16" s="8">
        <v>2.5000000000000001E-3</v>
      </c>
      <c r="H16" s="9"/>
      <c r="I16" s="33"/>
    </row>
    <row r="17" spans="1:9" x14ac:dyDescent="0.2">
      <c r="B17" s="45" t="s">
        <v>1182</v>
      </c>
      <c r="H17" s="9"/>
      <c r="I17" s="33"/>
    </row>
    <row r="18" spans="1:9" ht="12.95" customHeight="1" x14ac:dyDescent="0.2">
      <c r="A18" s="5" t="s">
        <v>454</v>
      </c>
      <c r="B18" s="32" t="s">
        <v>455</v>
      </c>
      <c r="C18" s="4" t="s">
        <v>456</v>
      </c>
      <c r="D18" s="4" t="s">
        <v>457</v>
      </c>
      <c r="E18" s="6">
        <v>115125</v>
      </c>
      <c r="F18" s="7">
        <v>1259.01</v>
      </c>
      <c r="G18" s="8">
        <v>3.8E-3</v>
      </c>
      <c r="H18" s="9"/>
      <c r="I18" s="33"/>
    </row>
    <row r="19" spans="1:9" ht="12.95" customHeight="1" x14ac:dyDescent="0.2">
      <c r="A19" s="5" t="s">
        <v>458</v>
      </c>
      <c r="B19" s="32" t="s">
        <v>459</v>
      </c>
      <c r="C19" s="4" t="s">
        <v>460</v>
      </c>
      <c r="D19" s="4" t="s">
        <v>461</v>
      </c>
      <c r="E19" s="6">
        <v>376250</v>
      </c>
      <c r="F19" s="7">
        <v>180.75</v>
      </c>
      <c r="G19" s="8">
        <v>5.9999999999999995E-4</v>
      </c>
      <c r="H19" s="9"/>
      <c r="I19" s="33"/>
    </row>
    <row r="20" spans="1:9" ht="12.95" customHeight="1" x14ac:dyDescent="0.2">
      <c r="A20" s="46"/>
      <c r="B20" s="34" t="s">
        <v>128</v>
      </c>
      <c r="C20" s="1"/>
      <c r="D20" s="1"/>
      <c r="E20" s="1"/>
      <c r="F20" s="10">
        <f>SUM(F16:F19)</f>
        <v>2252.5299999999997</v>
      </c>
      <c r="G20" s="11">
        <v>6.8999999999999999E-3</v>
      </c>
      <c r="H20" s="12"/>
      <c r="I20" s="35"/>
    </row>
    <row r="21" spans="1:9" ht="12.95" customHeight="1" x14ac:dyDescent="0.2">
      <c r="A21" s="46"/>
      <c r="B21" s="31" t="s">
        <v>152</v>
      </c>
      <c r="C21" s="4"/>
      <c r="D21" s="4"/>
      <c r="E21" s="4"/>
      <c r="F21" s="51"/>
      <c r="G21" s="49"/>
      <c r="H21" s="49"/>
      <c r="I21" s="50"/>
    </row>
    <row r="22" spans="1:9" ht="12.95" customHeight="1" x14ac:dyDescent="0.2">
      <c r="A22" s="5" t="s">
        <v>153</v>
      </c>
      <c r="B22" s="32" t="s">
        <v>154</v>
      </c>
      <c r="C22" s="4" t="s">
        <v>155</v>
      </c>
      <c r="D22" s="4" t="s">
        <v>156</v>
      </c>
      <c r="E22" s="6">
        <v>3979328</v>
      </c>
      <c r="F22" s="7">
        <v>16724.72</v>
      </c>
      <c r="G22" s="8">
        <v>5.0999999999999997E-2</v>
      </c>
      <c r="H22" s="9"/>
      <c r="I22" s="33"/>
    </row>
    <row r="23" spans="1:9" ht="12.95" customHeight="1" x14ac:dyDescent="0.2">
      <c r="A23" s="5" t="s">
        <v>157</v>
      </c>
      <c r="B23" s="32" t="s">
        <v>158</v>
      </c>
      <c r="C23" s="4" t="s">
        <v>159</v>
      </c>
      <c r="D23" s="4" t="s">
        <v>156</v>
      </c>
      <c r="E23" s="6">
        <v>4655532</v>
      </c>
      <c r="F23" s="7">
        <v>15069.49</v>
      </c>
      <c r="G23" s="8">
        <v>4.5900000000000003E-2</v>
      </c>
      <c r="H23" s="9"/>
      <c r="I23" s="33"/>
    </row>
    <row r="24" spans="1:9" ht="12.95" customHeight="1" x14ac:dyDescent="0.2">
      <c r="A24" s="5" t="s">
        <v>160</v>
      </c>
      <c r="B24" s="32" t="s">
        <v>161</v>
      </c>
      <c r="C24" s="4" t="s">
        <v>162</v>
      </c>
      <c r="D24" s="4" t="s">
        <v>156</v>
      </c>
      <c r="E24" s="6">
        <v>493139</v>
      </c>
      <c r="F24" s="7">
        <v>2214.98</v>
      </c>
      <c r="G24" s="8">
        <v>6.7999999999999996E-3</v>
      </c>
      <c r="H24" s="9"/>
      <c r="I24" s="33"/>
    </row>
    <row r="25" spans="1:9" ht="12.95" customHeight="1" x14ac:dyDescent="0.2">
      <c r="A25" s="46"/>
      <c r="B25" s="34" t="s">
        <v>128</v>
      </c>
      <c r="C25" s="1"/>
      <c r="D25" s="1"/>
      <c r="E25" s="1"/>
      <c r="F25" s="10">
        <f>SUM(F22:F24)</f>
        <v>34009.19</v>
      </c>
      <c r="G25" s="11">
        <f>SUM(G22:G24)</f>
        <v>0.1037</v>
      </c>
      <c r="H25" s="12"/>
      <c r="I25" s="35"/>
    </row>
    <row r="26" spans="1:9" ht="12.95" customHeight="1" x14ac:dyDescent="0.2">
      <c r="A26" s="46"/>
      <c r="B26" s="34" t="s">
        <v>163</v>
      </c>
      <c r="C26" s="1"/>
      <c r="D26" s="1"/>
      <c r="E26" s="1"/>
      <c r="F26" s="12" t="s">
        <v>164</v>
      </c>
      <c r="G26" s="12" t="s">
        <v>164</v>
      </c>
      <c r="H26" s="12"/>
      <c r="I26" s="35"/>
    </row>
    <row r="27" spans="1:9" ht="12.95" customHeight="1" x14ac:dyDescent="0.2">
      <c r="A27" s="46"/>
      <c r="B27" s="34" t="s">
        <v>128</v>
      </c>
      <c r="C27" s="1"/>
      <c r="D27" s="1"/>
      <c r="E27" s="1"/>
      <c r="F27" s="12" t="s">
        <v>164</v>
      </c>
      <c r="G27" s="12" t="s">
        <v>164</v>
      </c>
      <c r="H27" s="12"/>
      <c r="I27" s="35"/>
    </row>
    <row r="28" spans="1:9" ht="12.95" customHeight="1" x14ac:dyDescent="0.2">
      <c r="A28" s="46"/>
      <c r="B28" s="34" t="s">
        <v>165</v>
      </c>
      <c r="C28" s="13"/>
      <c r="D28" s="1"/>
      <c r="E28" s="13"/>
      <c r="F28" s="10">
        <v>68357.009999999995</v>
      </c>
      <c r="G28" s="11">
        <v>0.20849999999999999</v>
      </c>
      <c r="H28" s="12"/>
      <c r="I28" s="35"/>
    </row>
    <row r="29" spans="1:9" ht="12.95" customHeight="1" x14ac:dyDescent="0.2">
      <c r="A29" s="46"/>
      <c r="B29" s="31" t="s">
        <v>354</v>
      </c>
      <c r="C29" s="4"/>
      <c r="D29" s="4"/>
      <c r="E29" s="4"/>
      <c r="F29" s="4"/>
      <c r="G29" s="4"/>
      <c r="H29" s="49"/>
      <c r="I29" s="50"/>
    </row>
    <row r="30" spans="1:9" ht="12.95" customHeight="1" x14ac:dyDescent="0.2">
      <c r="A30" s="46"/>
      <c r="B30" s="31" t="s">
        <v>355</v>
      </c>
      <c r="C30" s="4"/>
      <c r="D30" s="4"/>
      <c r="E30" s="4"/>
      <c r="F30" s="51"/>
      <c r="G30" s="49"/>
      <c r="H30" s="49"/>
      <c r="I30" s="50"/>
    </row>
    <row r="31" spans="1:9" ht="12.95" customHeight="1" x14ac:dyDescent="0.2">
      <c r="A31" s="5" t="s">
        <v>468</v>
      </c>
      <c r="B31" s="32" t="s">
        <v>1286</v>
      </c>
      <c r="C31" s="4" t="s">
        <v>469</v>
      </c>
      <c r="D31" s="4" t="s">
        <v>332</v>
      </c>
      <c r="E31" s="6">
        <v>15000000</v>
      </c>
      <c r="F31" s="7">
        <v>14801.54</v>
      </c>
      <c r="G31" s="8">
        <v>4.5100000000000001E-2</v>
      </c>
      <c r="H31" s="14">
        <v>7.5423000000000004E-2</v>
      </c>
      <c r="I31" s="33"/>
    </row>
    <row r="32" spans="1:9" ht="12.95" customHeight="1" x14ac:dyDescent="0.2">
      <c r="A32" s="5" t="s">
        <v>470</v>
      </c>
      <c r="B32" s="32" t="s">
        <v>1287</v>
      </c>
      <c r="C32" s="4" t="s">
        <v>471</v>
      </c>
      <c r="D32" s="4" t="s">
        <v>332</v>
      </c>
      <c r="E32" s="6">
        <v>14000000</v>
      </c>
      <c r="F32" s="7">
        <v>13828.49</v>
      </c>
      <c r="G32" s="8">
        <v>4.2200000000000001E-2</v>
      </c>
      <c r="H32" s="14">
        <v>7.4929999999999997E-2</v>
      </c>
      <c r="I32" s="33"/>
    </row>
    <row r="33" spans="1:9" ht="12.95" customHeight="1" x14ac:dyDescent="0.2">
      <c r="A33" s="5" t="s">
        <v>472</v>
      </c>
      <c r="B33" s="32" t="s">
        <v>1288</v>
      </c>
      <c r="C33" s="4" t="s">
        <v>473</v>
      </c>
      <c r="D33" s="4" t="s">
        <v>332</v>
      </c>
      <c r="E33" s="6">
        <v>12500000</v>
      </c>
      <c r="F33" s="7">
        <v>12696.33</v>
      </c>
      <c r="G33" s="8">
        <v>3.8699999999999998E-2</v>
      </c>
      <c r="H33" s="14">
        <v>7.4659000000000003E-2</v>
      </c>
      <c r="I33" s="33"/>
    </row>
    <row r="34" spans="1:9" ht="12.95" customHeight="1" x14ac:dyDescent="0.2">
      <c r="A34" s="5" t="s">
        <v>474</v>
      </c>
      <c r="B34" s="32" t="s">
        <v>1289</v>
      </c>
      <c r="C34" s="4" t="s">
        <v>475</v>
      </c>
      <c r="D34" s="4" t="s">
        <v>332</v>
      </c>
      <c r="E34" s="6">
        <v>9500000</v>
      </c>
      <c r="F34" s="7">
        <v>9385.5499999999993</v>
      </c>
      <c r="G34" s="8">
        <v>2.86E-2</v>
      </c>
      <c r="H34" s="14">
        <v>7.7182000000000001E-2</v>
      </c>
      <c r="I34" s="33"/>
    </row>
    <row r="35" spans="1:9" ht="12.95" customHeight="1" x14ac:dyDescent="0.2">
      <c r="A35" s="5" t="s">
        <v>476</v>
      </c>
      <c r="B35" s="32" t="s">
        <v>1290</v>
      </c>
      <c r="C35" s="4" t="s">
        <v>477</v>
      </c>
      <c r="D35" s="4" t="s">
        <v>332</v>
      </c>
      <c r="E35" s="6">
        <v>8500000</v>
      </c>
      <c r="F35" s="7">
        <v>8671.48</v>
      </c>
      <c r="G35" s="8">
        <v>2.64E-2</v>
      </c>
      <c r="H35" s="14">
        <v>7.5627E-2</v>
      </c>
      <c r="I35" s="33"/>
    </row>
    <row r="36" spans="1:9" ht="12.95" customHeight="1" x14ac:dyDescent="0.2">
      <c r="A36" s="5" t="s">
        <v>478</v>
      </c>
      <c r="B36" s="32" t="s">
        <v>1291</v>
      </c>
      <c r="C36" s="4" t="s">
        <v>479</v>
      </c>
      <c r="D36" s="4" t="s">
        <v>332</v>
      </c>
      <c r="E36" s="6">
        <v>7500000</v>
      </c>
      <c r="F36" s="7">
        <v>7682.96</v>
      </c>
      <c r="G36" s="8">
        <v>2.3400000000000001E-2</v>
      </c>
      <c r="H36" s="14">
        <v>7.3433999999999999E-2</v>
      </c>
      <c r="I36" s="33"/>
    </row>
    <row r="37" spans="1:9" ht="12.95" customHeight="1" x14ac:dyDescent="0.2">
      <c r="A37" s="5" t="s">
        <v>480</v>
      </c>
      <c r="B37" s="32" t="s">
        <v>1292</v>
      </c>
      <c r="C37" s="4" t="s">
        <v>481</v>
      </c>
      <c r="D37" s="4" t="s">
        <v>332</v>
      </c>
      <c r="E37" s="6">
        <v>7500000</v>
      </c>
      <c r="F37" s="7">
        <v>7664.98</v>
      </c>
      <c r="G37" s="8">
        <v>2.3400000000000001E-2</v>
      </c>
      <c r="H37" s="14">
        <v>7.3088E-2</v>
      </c>
      <c r="I37" s="33"/>
    </row>
    <row r="38" spans="1:9" ht="12.95" customHeight="1" x14ac:dyDescent="0.2">
      <c r="A38" s="5" t="s">
        <v>482</v>
      </c>
      <c r="B38" s="32" t="s">
        <v>1410</v>
      </c>
      <c r="C38" s="4" t="s">
        <v>483</v>
      </c>
      <c r="D38" s="4" t="s">
        <v>484</v>
      </c>
      <c r="E38" s="6">
        <v>7500</v>
      </c>
      <c r="F38" s="7">
        <v>7486.47</v>
      </c>
      <c r="G38" s="8">
        <v>2.2800000000000001E-2</v>
      </c>
      <c r="H38" s="14">
        <v>7.5399999999999995E-2</v>
      </c>
      <c r="I38" s="33"/>
    </row>
    <row r="39" spans="1:9" ht="12.95" customHeight="1" x14ac:dyDescent="0.2">
      <c r="A39" s="5" t="s">
        <v>485</v>
      </c>
      <c r="B39" s="32" t="s">
        <v>1293</v>
      </c>
      <c r="C39" s="4" t="s">
        <v>486</v>
      </c>
      <c r="D39" s="4" t="s">
        <v>332</v>
      </c>
      <c r="E39" s="6">
        <v>5675600</v>
      </c>
      <c r="F39" s="7">
        <v>5757.82</v>
      </c>
      <c r="G39" s="8">
        <v>1.7600000000000001E-2</v>
      </c>
      <c r="H39" s="14">
        <v>7.3088E-2</v>
      </c>
      <c r="I39" s="33"/>
    </row>
    <row r="40" spans="1:9" ht="12.95" customHeight="1" x14ac:dyDescent="0.2">
      <c r="A40" s="5" t="s">
        <v>487</v>
      </c>
      <c r="B40" s="32" t="s">
        <v>1294</v>
      </c>
      <c r="C40" s="4" t="s">
        <v>488</v>
      </c>
      <c r="D40" s="4" t="s">
        <v>332</v>
      </c>
      <c r="E40" s="6">
        <v>5500000</v>
      </c>
      <c r="F40" s="7">
        <v>5370.28</v>
      </c>
      <c r="G40" s="8">
        <v>1.6400000000000001E-2</v>
      </c>
      <c r="H40" s="14">
        <v>7.4697E-2</v>
      </c>
      <c r="I40" s="33"/>
    </row>
    <row r="41" spans="1:9" ht="12.95" customHeight="1" x14ac:dyDescent="0.2">
      <c r="A41" s="5" t="s">
        <v>489</v>
      </c>
      <c r="B41" s="32" t="s">
        <v>1295</v>
      </c>
      <c r="C41" s="4" t="s">
        <v>490</v>
      </c>
      <c r="D41" s="4" t="s">
        <v>332</v>
      </c>
      <c r="E41" s="6">
        <v>5000000</v>
      </c>
      <c r="F41" s="7">
        <v>5045.3999999999996</v>
      </c>
      <c r="G41" s="8">
        <v>1.54E-2</v>
      </c>
      <c r="H41" s="14">
        <v>7.5627E-2</v>
      </c>
      <c r="I41" s="33"/>
    </row>
    <row r="42" spans="1:9" ht="12.95" customHeight="1" x14ac:dyDescent="0.2">
      <c r="A42" s="5" t="s">
        <v>491</v>
      </c>
      <c r="B42" s="32" t="s">
        <v>1411</v>
      </c>
      <c r="C42" s="4" t="s">
        <v>492</v>
      </c>
      <c r="D42" s="4" t="s">
        <v>493</v>
      </c>
      <c r="E42" s="6">
        <v>5000</v>
      </c>
      <c r="F42" s="7">
        <v>5011.6000000000004</v>
      </c>
      <c r="G42" s="8">
        <v>1.5299999999999999E-2</v>
      </c>
      <c r="H42" s="14">
        <v>7.5462000000000001E-2</v>
      </c>
      <c r="I42" s="33"/>
    </row>
    <row r="43" spans="1:9" ht="12.95" customHeight="1" x14ac:dyDescent="0.2">
      <c r="A43" s="5" t="s">
        <v>494</v>
      </c>
      <c r="B43" s="32" t="s">
        <v>1296</v>
      </c>
      <c r="C43" s="4" t="s">
        <v>495</v>
      </c>
      <c r="D43" s="4" t="s">
        <v>332</v>
      </c>
      <c r="E43" s="6">
        <v>5000000</v>
      </c>
      <c r="F43" s="7">
        <v>4996.08</v>
      </c>
      <c r="G43" s="8">
        <v>1.52E-2</v>
      </c>
      <c r="H43" s="14">
        <v>7.4800000000000005E-2</v>
      </c>
      <c r="I43" s="33"/>
    </row>
    <row r="44" spans="1:9" ht="12.95" customHeight="1" x14ac:dyDescent="0.2">
      <c r="A44" s="5" t="s">
        <v>496</v>
      </c>
      <c r="B44" s="32" t="s">
        <v>1297</v>
      </c>
      <c r="C44" s="4" t="s">
        <v>497</v>
      </c>
      <c r="D44" s="4" t="s">
        <v>332</v>
      </c>
      <c r="E44" s="6">
        <v>5000000</v>
      </c>
      <c r="F44" s="7">
        <v>4991.07</v>
      </c>
      <c r="G44" s="8">
        <v>1.52E-2</v>
      </c>
      <c r="H44" s="14">
        <v>7.5609999999999997E-2</v>
      </c>
      <c r="I44" s="33"/>
    </row>
    <row r="45" spans="1:9" ht="12.95" customHeight="1" x14ac:dyDescent="0.2">
      <c r="A45" s="5" t="s">
        <v>498</v>
      </c>
      <c r="B45" s="32" t="s">
        <v>1298</v>
      </c>
      <c r="C45" s="4" t="s">
        <v>499</v>
      </c>
      <c r="D45" s="4" t="s">
        <v>484</v>
      </c>
      <c r="E45" s="6">
        <v>5000</v>
      </c>
      <c r="F45" s="7">
        <v>4956.62</v>
      </c>
      <c r="G45" s="8">
        <v>1.5100000000000001E-2</v>
      </c>
      <c r="H45" s="14">
        <v>7.6499999999999999E-2</v>
      </c>
      <c r="I45" s="33"/>
    </row>
    <row r="46" spans="1:9" ht="12.95" customHeight="1" x14ac:dyDescent="0.2">
      <c r="A46" s="5" t="s">
        <v>500</v>
      </c>
      <c r="B46" s="32" t="s">
        <v>1412</v>
      </c>
      <c r="C46" s="4" t="s">
        <v>501</v>
      </c>
      <c r="D46" s="4" t="s">
        <v>484</v>
      </c>
      <c r="E46" s="6">
        <v>5000</v>
      </c>
      <c r="F46" s="7">
        <v>4955.26</v>
      </c>
      <c r="G46" s="8">
        <v>1.5100000000000001E-2</v>
      </c>
      <c r="H46" s="14">
        <v>7.7899999999999997E-2</v>
      </c>
      <c r="I46" s="33"/>
    </row>
    <row r="47" spans="1:9" ht="12.95" customHeight="1" x14ac:dyDescent="0.2">
      <c r="A47" s="5" t="s">
        <v>502</v>
      </c>
      <c r="B47" s="32" t="s">
        <v>1299</v>
      </c>
      <c r="C47" s="4" t="s">
        <v>503</v>
      </c>
      <c r="D47" s="4" t="s">
        <v>332</v>
      </c>
      <c r="E47" s="6">
        <v>5000000</v>
      </c>
      <c r="F47" s="7">
        <v>4928.22</v>
      </c>
      <c r="G47" s="8">
        <v>1.4999999999999999E-2</v>
      </c>
      <c r="H47" s="14">
        <v>7.5609999999999997E-2</v>
      </c>
      <c r="I47" s="33"/>
    </row>
    <row r="48" spans="1:9" ht="12.95" customHeight="1" x14ac:dyDescent="0.2">
      <c r="A48" s="5" t="s">
        <v>504</v>
      </c>
      <c r="B48" s="32" t="s">
        <v>1300</v>
      </c>
      <c r="C48" s="4" t="s">
        <v>505</v>
      </c>
      <c r="D48" s="4" t="s">
        <v>332</v>
      </c>
      <c r="E48" s="6">
        <v>5000000</v>
      </c>
      <c r="F48" s="7">
        <v>4923</v>
      </c>
      <c r="G48" s="8">
        <v>1.4999999999999999E-2</v>
      </c>
      <c r="H48" s="14">
        <v>7.4929999999999997E-2</v>
      </c>
      <c r="I48" s="33"/>
    </row>
    <row r="49" spans="1:9" ht="12.95" customHeight="1" x14ac:dyDescent="0.2">
      <c r="A49" s="5" t="s">
        <v>506</v>
      </c>
      <c r="B49" s="32" t="s">
        <v>1301</v>
      </c>
      <c r="C49" s="4" t="s">
        <v>507</v>
      </c>
      <c r="D49" s="4" t="s">
        <v>332</v>
      </c>
      <c r="E49" s="6">
        <v>5000000</v>
      </c>
      <c r="F49" s="7">
        <v>4915.49</v>
      </c>
      <c r="G49" s="8">
        <v>1.4999999999999999E-2</v>
      </c>
      <c r="H49" s="14">
        <v>7.6361999999999999E-2</v>
      </c>
      <c r="I49" s="33"/>
    </row>
    <row r="50" spans="1:9" ht="12.95" customHeight="1" x14ac:dyDescent="0.2">
      <c r="A50" s="5" t="s">
        <v>508</v>
      </c>
      <c r="B50" s="32" t="s">
        <v>1302</v>
      </c>
      <c r="C50" s="4" t="s">
        <v>509</v>
      </c>
      <c r="D50" s="4" t="s">
        <v>332</v>
      </c>
      <c r="E50" s="6">
        <v>4500000</v>
      </c>
      <c r="F50" s="7">
        <v>4549.12</v>
      </c>
      <c r="G50" s="8">
        <v>1.3899999999999999E-2</v>
      </c>
      <c r="H50" s="14">
        <v>7.5627E-2</v>
      </c>
      <c r="I50" s="33"/>
    </row>
    <row r="51" spans="1:9" ht="12.95" customHeight="1" x14ac:dyDescent="0.2">
      <c r="A51" s="5" t="s">
        <v>510</v>
      </c>
      <c r="B51" s="32" t="s">
        <v>1303</v>
      </c>
      <c r="C51" s="4" t="s">
        <v>511</v>
      </c>
      <c r="D51" s="4" t="s">
        <v>332</v>
      </c>
      <c r="E51" s="6">
        <v>4500000</v>
      </c>
      <c r="F51" s="7">
        <v>4456.5600000000004</v>
      </c>
      <c r="G51" s="8">
        <v>1.3599999999999999E-2</v>
      </c>
      <c r="H51" s="14">
        <v>7.5423000000000004E-2</v>
      </c>
      <c r="I51" s="33"/>
    </row>
    <row r="52" spans="1:9" ht="12.95" customHeight="1" x14ac:dyDescent="0.2">
      <c r="A52" s="5" t="s">
        <v>512</v>
      </c>
      <c r="B52" s="32" t="s">
        <v>1304</v>
      </c>
      <c r="C52" s="4" t="s">
        <v>513</v>
      </c>
      <c r="D52" s="4" t="s">
        <v>332</v>
      </c>
      <c r="E52" s="6">
        <v>4000000</v>
      </c>
      <c r="F52" s="7">
        <v>4036.08</v>
      </c>
      <c r="G52" s="8">
        <v>1.23E-2</v>
      </c>
      <c r="H52" s="14">
        <v>7.6822000000000001E-2</v>
      </c>
      <c r="I52" s="33"/>
    </row>
    <row r="53" spans="1:9" ht="12.95" customHeight="1" x14ac:dyDescent="0.2">
      <c r="A53" s="5" t="s">
        <v>514</v>
      </c>
      <c r="B53" s="32" t="s">
        <v>1305</v>
      </c>
      <c r="C53" s="4" t="s">
        <v>515</v>
      </c>
      <c r="D53" s="4" t="s">
        <v>332</v>
      </c>
      <c r="E53" s="6">
        <v>3500000</v>
      </c>
      <c r="F53" s="7">
        <v>3551.18</v>
      </c>
      <c r="G53" s="8">
        <v>1.0800000000000001E-2</v>
      </c>
      <c r="H53" s="14">
        <v>7.5609999999999997E-2</v>
      </c>
      <c r="I53" s="33"/>
    </row>
    <row r="54" spans="1:9" ht="12.95" customHeight="1" x14ac:dyDescent="0.2">
      <c r="A54" s="5" t="s">
        <v>516</v>
      </c>
      <c r="B54" s="32" t="s">
        <v>1306</v>
      </c>
      <c r="C54" s="4" t="s">
        <v>517</v>
      </c>
      <c r="D54" s="4" t="s">
        <v>332</v>
      </c>
      <c r="E54" s="6">
        <v>3500000</v>
      </c>
      <c r="F54" s="7">
        <v>3527.25</v>
      </c>
      <c r="G54" s="8">
        <v>1.0800000000000001E-2</v>
      </c>
      <c r="H54" s="14">
        <v>7.2984999999999994E-2</v>
      </c>
      <c r="I54" s="33"/>
    </row>
    <row r="55" spans="1:9" ht="12.95" customHeight="1" x14ac:dyDescent="0.2">
      <c r="A55" s="5" t="s">
        <v>518</v>
      </c>
      <c r="B55" s="32" t="s">
        <v>1307</v>
      </c>
      <c r="C55" s="4" t="s">
        <v>519</v>
      </c>
      <c r="D55" s="4" t="s">
        <v>332</v>
      </c>
      <c r="E55" s="6">
        <v>3500000</v>
      </c>
      <c r="F55" s="7">
        <v>3510.36</v>
      </c>
      <c r="G55" s="8">
        <v>1.0699999999999999E-2</v>
      </c>
      <c r="H55" s="14">
        <v>7.6822000000000001E-2</v>
      </c>
      <c r="I55" s="33"/>
    </row>
    <row r="56" spans="1:9" ht="12.95" customHeight="1" x14ac:dyDescent="0.2">
      <c r="A56" s="5" t="s">
        <v>520</v>
      </c>
      <c r="B56" s="32" t="s">
        <v>1308</v>
      </c>
      <c r="C56" s="4" t="s">
        <v>521</v>
      </c>
      <c r="D56" s="4" t="s">
        <v>332</v>
      </c>
      <c r="E56" s="6">
        <v>3000000</v>
      </c>
      <c r="F56" s="7">
        <v>2914.43</v>
      </c>
      <c r="G56" s="8">
        <v>8.8999999999999999E-3</v>
      </c>
      <c r="H56" s="14">
        <v>7.5507000000000005E-2</v>
      </c>
      <c r="I56" s="33"/>
    </row>
    <row r="57" spans="1:9" ht="12.95" customHeight="1" x14ac:dyDescent="0.2">
      <c r="A57" s="5" t="s">
        <v>522</v>
      </c>
      <c r="B57" s="32" t="s">
        <v>1309</v>
      </c>
      <c r="C57" s="4" t="s">
        <v>523</v>
      </c>
      <c r="D57" s="4" t="s">
        <v>332</v>
      </c>
      <c r="E57" s="6">
        <v>2500000</v>
      </c>
      <c r="F57" s="7">
        <v>2546.4299999999998</v>
      </c>
      <c r="G57" s="8">
        <v>7.7999999999999996E-3</v>
      </c>
      <c r="H57" s="14">
        <v>7.5627E-2</v>
      </c>
      <c r="I57" s="33"/>
    </row>
    <row r="58" spans="1:9" ht="12.95" customHeight="1" x14ac:dyDescent="0.2">
      <c r="A58" s="5" t="s">
        <v>524</v>
      </c>
      <c r="B58" s="32" t="s">
        <v>1310</v>
      </c>
      <c r="C58" s="4" t="s">
        <v>525</v>
      </c>
      <c r="D58" s="4" t="s">
        <v>332</v>
      </c>
      <c r="E58" s="6">
        <v>2500000</v>
      </c>
      <c r="F58" s="7">
        <v>2535.23</v>
      </c>
      <c r="G58" s="8">
        <v>7.7000000000000002E-3</v>
      </c>
      <c r="H58" s="14">
        <v>7.5609999999999997E-2</v>
      </c>
      <c r="I58" s="33"/>
    </row>
    <row r="59" spans="1:9" ht="12.95" customHeight="1" x14ac:dyDescent="0.2">
      <c r="A59" s="5" t="s">
        <v>526</v>
      </c>
      <c r="B59" s="32" t="s">
        <v>1311</v>
      </c>
      <c r="C59" s="4" t="s">
        <v>527</v>
      </c>
      <c r="D59" s="4" t="s">
        <v>332</v>
      </c>
      <c r="E59" s="6">
        <v>2500000</v>
      </c>
      <c r="F59" s="7">
        <v>2523.3000000000002</v>
      </c>
      <c r="G59" s="8">
        <v>7.7000000000000002E-3</v>
      </c>
      <c r="H59" s="14">
        <v>7.7286999999999995E-2</v>
      </c>
      <c r="I59" s="33"/>
    </row>
    <row r="60" spans="1:9" ht="12.95" customHeight="1" x14ac:dyDescent="0.2">
      <c r="A60" s="5" t="s">
        <v>528</v>
      </c>
      <c r="B60" s="32" t="s">
        <v>1312</v>
      </c>
      <c r="C60" s="4" t="s">
        <v>529</v>
      </c>
      <c r="D60" s="4" t="s">
        <v>332</v>
      </c>
      <c r="E60" s="6">
        <v>2500000</v>
      </c>
      <c r="F60" s="7">
        <v>2518.67</v>
      </c>
      <c r="G60" s="8">
        <v>7.7000000000000002E-3</v>
      </c>
      <c r="H60" s="14">
        <v>7.5202000000000005E-2</v>
      </c>
      <c r="I60" s="33"/>
    </row>
    <row r="61" spans="1:9" ht="12.95" customHeight="1" x14ac:dyDescent="0.2">
      <c r="A61" s="5" t="s">
        <v>530</v>
      </c>
      <c r="B61" s="32" t="s">
        <v>1313</v>
      </c>
      <c r="C61" s="4" t="s">
        <v>531</v>
      </c>
      <c r="D61" s="4" t="s">
        <v>332</v>
      </c>
      <c r="E61" s="6">
        <v>2500000</v>
      </c>
      <c r="F61" s="7">
        <v>2515.9499999999998</v>
      </c>
      <c r="G61" s="8">
        <v>7.7000000000000002E-3</v>
      </c>
      <c r="H61" s="14">
        <v>7.4800000000000005E-2</v>
      </c>
      <c r="I61" s="33"/>
    </row>
    <row r="62" spans="1:9" ht="12.95" customHeight="1" x14ac:dyDescent="0.2">
      <c r="A62" s="5" t="s">
        <v>532</v>
      </c>
      <c r="B62" s="32" t="s">
        <v>1314</v>
      </c>
      <c r="C62" s="4" t="s">
        <v>533</v>
      </c>
      <c r="D62" s="4" t="s">
        <v>332</v>
      </c>
      <c r="E62" s="6">
        <v>2500000</v>
      </c>
      <c r="F62" s="7">
        <v>2512</v>
      </c>
      <c r="G62" s="8">
        <v>7.7000000000000002E-3</v>
      </c>
      <c r="H62" s="14">
        <v>7.0246000000000003E-2</v>
      </c>
      <c r="I62" s="33"/>
    </row>
    <row r="63" spans="1:9" ht="12.95" customHeight="1" x14ac:dyDescent="0.2">
      <c r="A63" s="5" t="s">
        <v>534</v>
      </c>
      <c r="B63" s="32" t="s">
        <v>1315</v>
      </c>
      <c r="C63" s="4" t="s">
        <v>535</v>
      </c>
      <c r="D63" s="4" t="s">
        <v>484</v>
      </c>
      <c r="E63" s="6">
        <v>2500</v>
      </c>
      <c r="F63" s="7">
        <v>2508.9899999999998</v>
      </c>
      <c r="G63" s="8">
        <v>7.6E-3</v>
      </c>
      <c r="H63" s="14">
        <v>7.7899999999999997E-2</v>
      </c>
      <c r="I63" s="33"/>
    </row>
    <row r="64" spans="1:9" ht="12.95" customHeight="1" x14ac:dyDescent="0.2">
      <c r="A64" s="5" t="s">
        <v>536</v>
      </c>
      <c r="B64" s="32" t="s">
        <v>1316</v>
      </c>
      <c r="C64" s="4" t="s">
        <v>537</v>
      </c>
      <c r="D64" s="4" t="s">
        <v>484</v>
      </c>
      <c r="E64" s="6">
        <v>2500</v>
      </c>
      <c r="F64" s="7">
        <v>2505.5300000000002</v>
      </c>
      <c r="G64" s="8">
        <v>7.6E-3</v>
      </c>
      <c r="H64" s="14">
        <v>7.6499999999999999E-2</v>
      </c>
      <c r="I64" s="33"/>
    </row>
    <row r="65" spans="1:9" ht="12.95" customHeight="1" x14ac:dyDescent="0.2">
      <c r="A65" s="5" t="s">
        <v>538</v>
      </c>
      <c r="B65" s="32" t="s">
        <v>1413</v>
      </c>
      <c r="C65" s="4" t="s">
        <v>539</v>
      </c>
      <c r="D65" s="4" t="s">
        <v>484</v>
      </c>
      <c r="E65" s="6">
        <v>2500</v>
      </c>
      <c r="F65" s="7">
        <v>2485.65</v>
      </c>
      <c r="G65" s="8">
        <v>7.6E-3</v>
      </c>
      <c r="H65" s="14">
        <v>7.5604000000000005E-2</v>
      </c>
      <c r="I65" s="33"/>
    </row>
    <row r="66" spans="1:9" ht="12.95" customHeight="1" x14ac:dyDescent="0.2">
      <c r="A66" s="5" t="s">
        <v>540</v>
      </c>
      <c r="B66" s="32" t="s">
        <v>1317</v>
      </c>
      <c r="C66" s="4" t="s">
        <v>541</v>
      </c>
      <c r="D66" s="4" t="s">
        <v>332</v>
      </c>
      <c r="E66" s="6">
        <v>2500000</v>
      </c>
      <c r="F66" s="7">
        <v>2480.36</v>
      </c>
      <c r="G66" s="8">
        <v>7.6E-3</v>
      </c>
      <c r="H66" s="14">
        <v>7.5627E-2</v>
      </c>
      <c r="I66" s="33"/>
    </row>
    <row r="67" spans="1:9" ht="12.95" customHeight="1" x14ac:dyDescent="0.2">
      <c r="A67" s="5" t="s">
        <v>542</v>
      </c>
      <c r="B67" s="32" t="s">
        <v>1318</v>
      </c>
      <c r="C67" s="4" t="s">
        <v>543</v>
      </c>
      <c r="D67" s="4" t="s">
        <v>484</v>
      </c>
      <c r="E67" s="6">
        <v>2500</v>
      </c>
      <c r="F67" s="7">
        <v>2454.52</v>
      </c>
      <c r="G67" s="8">
        <v>7.4999999999999997E-3</v>
      </c>
      <c r="H67" s="14">
        <v>7.8799999999999995E-2</v>
      </c>
      <c r="I67" s="33"/>
    </row>
    <row r="68" spans="1:9" ht="12.95" customHeight="1" x14ac:dyDescent="0.2">
      <c r="A68" s="5" t="s">
        <v>544</v>
      </c>
      <c r="B68" s="32" t="s">
        <v>1319</v>
      </c>
      <c r="C68" s="4" t="s">
        <v>545</v>
      </c>
      <c r="D68" s="4" t="s">
        <v>484</v>
      </c>
      <c r="E68" s="6">
        <v>2500</v>
      </c>
      <c r="F68" s="7">
        <v>2446.16</v>
      </c>
      <c r="G68" s="8">
        <v>7.4999999999999997E-3</v>
      </c>
      <c r="H68" s="14">
        <v>7.6998999999999998E-2</v>
      </c>
      <c r="I68" s="33"/>
    </row>
    <row r="69" spans="1:9" ht="12.95" customHeight="1" x14ac:dyDescent="0.2">
      <c r="A69" s="5" t="s">
        <v>546</v>
      </c>
      <c r="B69" s="32" t="s">
        <v>1320</v>
      </c>
      <c r="C69" s="4" t="s">
        <v>547</v>
      </c>
      <c r="D69" s="4" t="s">
        <v>332</v>
      </c>
      <c r="E69" s="6">
        <v>2500000</v>
      </c>
      <c r="F69" s="7">
        <v>2407.37</v>
      </c>
      <c r="G69" s="8">
        <v>7.3000000000000001E-3</v>
      </c>
      <c r="H69" s="14">
        <v>7.6717999999999995E-2</v>
      </c>
      <c r="I69" s="33"/>
    </row>
    <row r="70" spans="1:9" ht="12.95" customHeight="1" x14ac:dyDescent="0.2">
      <c r="A70" s="5" t="s">
        <v>548</v>
      </c>
      <c r="B70" s="32" t="s">
        <v>1321</v>
      </c>
      <c r="C70" s="4" t="s">
        <v>549</v>
      </c>
      <c r="D70" s="4" t="s">
        <v>332</v>
      </c>
      <c r="E70" s="6">
        <v>2000000</v>
      </c>
      <c r="F70" s="7">
        <v>2099.7600000000002</v>
      </c>
      <c r="G70" s="8">
        <v>6.4000000000000003E-3</v>
      </c>
      <c r="H70" s="14">
        <v>7.5067999999999996E-2</v>
      </c>
      <c r="I70" s="33"/>
    </row>
    <row r="71" spans="1:9" ht="12.95" customHeight="1" x14ac:dyDescent="0.2">
      <c r="A71" s="5" t="s">
        <v>550</v>
      </c>
      <c r="B71" s="32" t="s">
        <v>1322</v>
      </c>
      <c r="C71" s="4" t="s">
        <v>551</v>
      </c>
      <c r="D71" s="4" t="s">
        <v>332</v>
      </c>
      <c r="E71" s="6">
        <v>2000000</v>
      </c>
      <c r="F71" s="7">
        <v>2030.31</v>
      </c>
      <c r="G71" s="8">
        <v>6.1999999999999998E-3</v>
      </c>
      <c r="H71" s="14">
        <v>7.0581000000000005E-2</v>
      </c>
      <c r="I71" s="33"/>
    </row>
    <row r="72" spans="1:9" ht="12.95" customHeight="1" x14ac:dyDescent="0.2">
      <c r="A72" s="5" t="s">
        <v>552</v>
      </c>
      <c r="B72" s="32" t="s">
        <v>1323</v>
      </c>
      <c r="C72" s="4" t="s">
        <v>553</v>
      </c>
      <c r="D72" s="4" t="s">
        <v>332</v>
      </c>
      <c r="E72" s="6">
        <v>2000000</v>
      </c>
      <c r="F72" s="7">
        <v>1966.92</v>
      </c>
      <c r="G72" s="8">
        <v>6.0000000000000001E-3</v>
      </c>
      <c r="H72" s="14">
        <v>7.4827000000000005E-2</v>
      </c>
      <c r="I72" s="33"/>
    </row>
    <row r="73" spans="1:9" ht="12.95" customHeight="1" x14ac:dyDescent="0.2">
      <c r="A73" s="5" t="s">
        <v>554</v>
      </c>
      <c r="B73" s="32" t="s">
        <v>1324</v>
      </c>
      <c r="C73" s="4" t="s">
        <v>555</v>
      </c>
      <c r="D73" s="4" t="s">
        <v>332</v>
      </c>
      <c r="E73" s="6">
        <v>1500000</v>
      </c>
      <c r="F73" s="7">
        <v>1567.94</v>
      </c>
      <c r="G73" s="8">
        <v>4.7999999999999996E-3</v>
      </c>
      <c r="H73" s="14">
        <v>7.3751999999999998E-2</v>
      </c>
      <c r="I73" s="33"/>
    </row>
    <row r="74" spans="1:9" ht="12.95" customHeight="1" x14ac:dyDescent="0.2">
      <c r="A74" s="5" t="s">
        <v>556</v>
      </c>
      <c r="B74" s="32" t="s">
        <v>1325</v>
      </c>
      <c r="C74" s="4" t="s">
        <v>557</v>
      </c>
      <c r="D74" s="4" t="s">
        <v>332</v>
      </c>
      <c r="E74" s="6">
        <v>1500000</v>
      </c>
      <c r="F74" s="7">
        <v>1522.44</v>
      </c>
      <c r="G74" s="8">
        <v>4.5999999999999999E-3</v>
      </c>
      <c r="H74" s="14">
        <v>7.4659000000000003E-2</v>
      </c>
      <c r="I74" s="33"/>
    </row>
    <row r="75" spans="1:9" ht="12.95" customHeight="1" x14ac:dyDescent="0.2">
      <c r="A75" s="5" t="s">
        <v>558</v>
      </c>
      <c r="B75" s="32" t="s">
        <v>1326</v>
      </c>
      <c r="C75" s="4" t="s">
        <v>559</v>
      </c>
      <c r="D75" s="4" t="s">
        <v>484</v>
      </c>
      <c r="E75" s="6">
        <v>1500</v>
      </c>
      <c r="F75" s="7">
        <v>1466.01</v>
      </c>
      <c r="G75" s="8">
        <v>4.4999999999999997E-3</v>
      </c>
      <c r="H75" s="14">
        <v>7.9299999999999995E-2</v>
      </c>
      <c r="I75" s="33"/>
    </row>
    <row r="76" spans="1:9" ht="12.95" customHeight="1" x14ac:dyDescent="0.2">
      <c r="A76" s="5" t="s">
        <v>560</v>
      </c>
      <c r="B76" s="32" t="s">
        <v>1327</v>
      </c>
      <c r="C76" s="4" t="s">
        <v>561</v>
      </c>
      <c r="D76" s="4" t="s">
        <v>332</v>
      </c>
      <c r="E76" s="6">
        <v>1500000</v>
      </c>
      <c r="F76" s="7">
        <v>1433.59</v>
      </c>
      <c r="G76" s="8">
        <v>4.4000000000000003E-3</v>
      </c>
      <c r="H76" s="14">
        <v>7.6717999999999995E-2</v>
      </c>
      <c r="I76" s="33"/>
    </row>
    <row r="77" spans="1:9" ht="12.95" customHeight="1" x14ac:dyDescent="0.2">
      <c r="A77" s="5" t="s">
        <v>562</v>
      </c>
      <c r="B77" s="32" t="s">
        <v>1328</v>
      </c>
      <c r="C77" s="4" t="s">
        <v>563</v>
      </c>
      <c r="D77" s="4" t="s">
        <v>332</v>
      </c>
      <c r="E77" s="6">
        <v>1000000</v>
      </c>
      <c r="F77" s="7">
        <v>1041.1300000000001</v>
      </c>
      <c r="G77" s="8">
        <v>3.2000000000000002E-3</v>
      </c>
      <c r="H77" s="14">
        <v>7.5060000000000002E-2</v>
      </c>
      <c r="I77" s="33"/>
    </row>
    <row r="78" spans="1:9" ht="12.95" customHeight="1" x14ac:dyDescent="0.2">
      <c r="A78" s="5" t="s">
        <v>564</v>
      </c>
      <c r="B78" s="32" t="s">
        <v>1329</v>
      </c>
      <c r="C78" s="4" t="s">
        <v>565</v>
      </c>
      <c r="D78" s="4" t="s">
        <v>332</v>
      </c>
      <c r="E78" s="6">
        <v>1000000</v>
      </c>
      <c r="F78" s="7">
        <v>1017.73</v>
      </c>
      <c r="G78" s="8">
        <v>3.0999999999999999E-3</v>
      </c>
      <c r="H78" s="14">
        <v>7.6322000000000001E-2</v>
      </c>
      <c r="I78" s="33"/>
    </row>
    <row r="79" spans="1:9" ht="12.95" customHeight="1" x14ac:dyDescent="0.2">
      <c r="A79" s="5" t="s">
        <v>566</v>
      </c>
      <c r="B79" s="32" t="s">
        <v>1330</v>
      </c>
      <c r="C79" s="4" t="s">
        <v>567</v>
      </c>
      <c r="D79" s="4" t="s">
        <v>332</v>
      </c>
      <c r="E79" s="6">
        <v>1000000</v>
      </c>
      <c r="F79" s="7">
        <v>1016.48</v>
      </c>
      <c r="G79" s="8">
        <v>3.0999999999999999E-3</v>
      </c>
      <c r="H79" s="14">
        <v>7.6304999999999998E-2</v>
      </c>
      <c r="I79" s="33"/>
    </row>
    <row r="80" spans="1:9" ht="12.95" customHeight="1" x14ac:dyDescent="0.2">
      <c r="A80" s="5" t="s">
        <v>568</v>
      </c>
      <c r="B80" s="32" t="s">
        <v>1331</v>
      </c>
      <c r="C80" s="4" t="s">
        <v>569</v>
      </c>
      <c r="D80" s="4" t="s">
        <v>332</v>
      </c>
      <c r="E80" s="6">
        <v>1000000</v>
      </c>
      <c r="F80" s="7">
        <v>1014.62</v>
      </c>
      <c r="G80" s="8">
        <v>3.0999999999999999E-3</v>
      </c>
      <c r="H80" s="14">
        <v>7.4659000000000003E-2</v>
      </c>
      <c r="I80" s="33"/>
    </row>
    <row r="81" spans="1:9" ht="12.95" customHeight="1" x14ac:dyDescent="0.2">
      <c r="A81" s="5" t="s">
        <v>570</v>
      </c>
      <c r="B81" s="32" t="s">
        <v>1332</v>
      </c>
      <c r="C81" s="4" t="s">
        <v>571</v>
      </c>
      <c r="D81" s="4" t="s">
        <v>332</v>
      </c>
      <c r="E81" s="6">
        <v>1000000</v>
      </c>
      <c r="F81" s="7">
        <v>1009.49</v>
      </c>
      <c r="G81" s="8">
        <v>3.0999999999999999E-3</v>
      </c>
      <c r="H81" s="14">
        <v>7.7469999999999997E-2</v>
      </c>
      <c r="I81" s="33"/>
    </row>
    <row r="82" spans="1:9" ht="12.95" customHeight="1" x14ac:dyDescent="0.2">
      <c r="A82" s="5" t="s">
        <v>572</v>
      </c>
      <c r="B82" s="32" t="s">
        <v>1333</v>
      </c>
      <c r="C82" s="4" t="s">
        <v>573</v>
      </c>
      <c r="D82" s="4" t="s">
        <v>332</v>
      </c>
      <c r="E82" s="6">
        <v>1000000</v>
      </c>
      <c r="F82" s="7">
        <v>1006.19</v>
      </c>
      <c r="G82" s="8">
        <v>3.0999999999999999E-3</v>
      </c>
      <c r="H82" s="14">
        <v>7.6822000000000001E-2</v>
      </c>
      <c r="I82" s="33"/>
    </row>
    <row r="83" spans="1:9" ht="12.95" customHeight="1" x14ac:dyDescent="0.2">
      <c r="A83" s="5" t="s">
        <v>574</v>
      </c>
      <c r="B83" s="32" t="s">
        <v>1334</v>
      </c>
      <c r="C83" s="4" t="s">
        <v>575</v>
      </c>
      <c r="D83" s="4" t="s">
        <v>332</v>
      </c>
      <c r="E83" s="6">
        <v>1000000</v>
      </c>
      <c r="F83" s="7">
        <v>1002.98</v>
      </c>
      <c r="G83" s="8">
        <v>3.0999999999999999E-3</v>
      </c>
      <c r="H83" s="14">
        <v>7.4560000000000001E-2</v>
      </c>
      <c r="I83" s="33"/>
    </row>
    <row r="84" spans="1:9" ht="12.95" customHeight="1" x14ac:dyDescent="0.2">
      <c r="A84" s="5" t="s">
        <v>576</v>
      </c>
      <c r="B84" s="32" t="s">
        <v>1335</v>
      </c>
      <c r="C84" s="4" t="s">
        <v>577</v>
      </c>
      <c r="D84" s="4" t="s">
        <v>332</v>
      </c>
      <c r="E84" s="6">
        <v>1000000</v>
      </c>
      <c r="F84" s="7">
        <v>999.62</v>
      </c>
      <c r="G84" s="8">
        <v>3.0000000000000001E-3</v>
      </c>
      <c r="H84" s="14">
        <v>7.4800000000000005E-2</v>
      </c>
      <c r="I84" s="33"/>
    </row>
    <row r="85" spans="1:9" ht="12.95" customHeight="1" x14ac:dyDescent="0.2">
      <c r="A85" s="5" t="s">
        <v>578</v>
      </c>
      <c r="B85" s="32" t="s">
        <v>1336</v>
      </c>
      <c r="C85" s="4" t="s">
        <v>579</v>
      </c>
      <c r="D85" s="4" t="s">
        <v>332</v>
      </c>
      <c r="E85" s="6">
        <v>1000000</v>
      </c>
      <c r="F85" s="7">
        <v>991.48</v>
      </c>
      <c r="G85" s="8">
        <v>3.0000000000000001E-3</v>
      </c>
      <c r="H85" s="14">
        <v>7.5202000000000005E-2</v>
      </c>
      <c r="I85" s="33"/>
    </row>
    <row r="86" spans="1:9" ht="12.95" customHeight="1" x14ac:dyDescent="0.2">
      <c r="A86" s="5" t="s">
        <v>580</v>
      </c>
      <c r="B86" s="32" t="s">
        <v>1337</v>
      </c>
      <c r="C86" s="4" t="s">
        <v>581</v>
      </c>
      <c r="D86" s="4" t="s">
        <v>332</v>
      </c>
      <c r="E86" s="6">
        <v>1000000</v>
      </c>
      <c r="F86" s="7">
        <v>985.94</v>
      </c>
      <c r="G86" s="8">
        <v>3.0000000000000001E-3</v>
      </c>
      <c r="H86" s="14">
        <v>7.5325000000000003E-2</v>
      </c>
      <c r="I86" s="33"/>
    </row>
    <row r="87" spans="1:9" ht="12.95" customHeight="1" x14ac:dyDescent="0.2">
      <c r="A87" s="5" t="s">
        <v>582</v>
      </c>
      <c r="B87" s="32" t="s">
        <v>1338</v>
      </c>
      <c r="C87" s="4" t="s">
        <v>583</v>
      </c>
      <c r="D87" s="4" t="s">
        <v>332</v>
      </c>
      <c r="E87" s="6">
        <v>1000000</v>
      </c>
      <c r="F87" s="7">
        <v>985.6</v>
      </c>
      <c r="G87" s="8">
        <v>3.0000000000000001E-3</v>
      </c>
      <c r="H87" s="14">
        <v>7.5609999999999997E-2</v>
      </c>
      <c r="I87" s="33"/>
    </row>
    <row r="88" spans="1:9" ht="12.95" customHeight="1" x14ac:dyDescent="0.2">
      <c r="A88" s="5" t="s">
        <v>584</v>
      </c>
      <c r="B88" s="32" t="s">
        <v>1339</v>
      </c>
      <c r="C88" s="4" t="s">
        <v>585</v>
      </c>
      <c r="D88" s="4" t="s">
        <v>332</v>
      </c>
      <c r="E88" s="6">
        <v>1000000</v>
      </c>
      <c r="F88" s="7">
        <v>983.49</v>
      </c>
      <c r="G88" s="8">
        <v>3.0000000000000001E-3</v>
      </c>
      <c r="H88" s="14">
        <v>7.5627E-2</v>
      </c>
      <c r="I88" s="33"/>
    </row>
    <row r="89" spans="1:9" ht="12.95" customHeight="1" x14ac:dyDescent="0.2">
      <c r="A89" s="5" t="s">
        <v>586</v>
      </c>
      <c r="B89" s="32" t="s">
        <v>1340</v>
      </c>
      <c r="C89" s="4" t="s">
        <v>587</v>
      </c>
      <c r="D89" s="4" t="s">
        <v>332</v>
      </c>
      <c r="E89" s="6">
        <v>1000000</v>
      </c>
      <c r="F89" s="7">
        <v>983.04</v>
      </c>
      <c r="G89" s="8">
        <v>3.0000000000000001E-3</v>
      </c>
      <c r="H89" s="14">
        <v>7.5627E-2</v>
      </c>
      <c r="I89" s="33"/>
    </row>
    <row r="90" spans="1:9" ht="12.95" customHeight="1" x14ac:dyDescent="0.2">
      <c r="A90" s="5" t="s">
        <v>588</v>
      </c>
      <c r="B90" s="32" t="s">
        <v>1341</v>
      </c>
      <c r="C90" s="4" t="s">
        <v>589</v>
      </c>
      <c r="D90" s="4" t="s">
        <v>332</v>
      </c>
      <c r="E90" s="6">
        <v>1000000</v>
      </c>
      <c r="F90" s="7">
        <v>980.89</v>
      </c>
      <c r="G90" s="8">
        <v>3.0000000000000001E-3</v>
      </c>
      <c r="H90" s="14">
        <v>7.5627E-2</v>
      </c>
      <c r="I90" s="33"/>
    </row>
    <row r="91" spans="1:9" ht="12.95" customHeight="1" x14ac:dyDescent="0.2">
      <c r="A91" s="5" t="s">
        <v>590</v>
      </c>
      <c r="B91" s="32" t="s">
        <v>1342</v>
      </c>
      <c r="C91" s="4" t="s">
        <v>591</v>
      </c>
      <c r="D91" s="4" t="s">
        <v>332</v>
      </c>
      <c r="E91" s="6">
        <v>1000000</v>
      </c>
      <c r="F91" s="7">
        <v>972.05</v>
      </c>
      <c r="G91" s="8">
        <v>3.0000000000000001E-3</v>
      </c>
      <c r="H91" s="14">
        <v>7.5523000000000007E-2</v>
      </c>
      <c r="I91" s="33"/>
    </row>
    <row r="92" spans="1:9" ht="12.95" customHeight="1" x14ac:dyDescent="0.2">
      <c r="A92" s="5" t="s">
        <v>592</v>
      </c>
      <c r="B92" s="32" t="s">
        <v>1343</v>
      </c>
      <c r="C92" s="4" t="s">
        <v>593</v>
      </c>
      <c r="D92" s="4" t="s">
        <v>332</v>
      </c>
      <c r="E92" s="6">
        <v>1000000</v>
      </c>
      <c r="F92" s="7">
        <v>971.21</v>
      </c>
      <c r="G92" s="8">
        <v>3.0000000000000001E-3</v>
      </c>
      <c r="H92" s="14">
        <v>7.6822000000000001E-2</v>
      </c>
      <c r="I92" s="33"/>
    </row>
    <row r="93" spans="1:9" ht="12.95" customHeight="1" x14ac:dyDescent="0.2">
      <c r="A93" s="5" t="s">
        <v>594</v>
      </c>
      <c r="B93" s="32" t="s">
        <v>1344</v>
      </c>
      <c r="C93" s="4" t="s">
        <v>595</v>
      </c>
      <c r="D93" s="4" t="s">
        <v>332</v>
      </c>
      <c r="E93" s="6">
        <v>582200</v>
      </c>
      <c r="F93" s="7">
        <v>576.87</v>
      </c>
      <c r="G93" s="8">
        <v>1.8E-3</v>
      </c>
      <c r="H93" s="14">
        <v>7.4929999999999997E-2</v>
      </c>
      <c r="I93" s="33"/>
    </row>
    <row r="94" spans="1:9" ht="12.95" customHeight="1" x14ac:dyDescent="0.2">
      <c r="A94" s="5" t="s">
        <v>596</v>
      </c>
      <c r="B94" s="32" t="s">
        <v>1345</v>
      </c>
      <c r="C94" s="4" t="s">
        <v>597</v>
      </c>
      <c r="D94" s="4" t="s">
        <v>332</v>
      </c>
      <c r="E94" s="6">
        <v>500000</v>
      </c>
      <c r="F94" s="7">
        <v>520.29</v>
      </c>
      <c r="G94" s="8">
        <v>1.6000000000000001E-3</v>
      </c>
      <c r="H94" s="14">
        <v>7.0032999999999998E-2</v>
      </c>
      <c r="I94" s="33"/>
    </row>
    <row r="95" spans="1:9" ht="12.95" customHeight="1" x14ac:dyDescent="0.2">
      <c r="A95" s="5" t="s">
        <v>598</v>
      </c>
      <c r="B95" s="32" t="s">
        <v>1346</v>
      </c>
      <c r="C95" s="4" t="s">
        <v>599</v>
      </c>
      <c r="D95" s="4" t="s">
        <v>332</v>
      </c>
      <c r="E95" s="6">
        <v>500000</v>
      </c>
      <c r="F95" s="7">
        <v>517.52</v>
      </c>
      <c r="G95" s="8">
        <v>1.6000000000000001E-3</v>
      </c>
      <c r="H95" s="14">
        <v>7.4762999999999996E-2</v>
      </c>
      <c r="I95" s="33"/>
    </row>
    <row r="96" spans="1:9" ht="12.95" customHeight="1" x14ac:dyDescent="0.2">
      <c r="A96" s="5" t="s">
        <v>600</v>
      </c>
      <c r="B96" s="32" t="s">
        <v>1347</v>
      </c>
      <c r="C96" s="4" t="s">
        <v>601</v>
      </c>
      <c r="D96" s="4" t="s">
        <v>332</v>
      </c>
      <c r="E96" s="6">
        <v>500000</v>
      </c>
      <c r="F96" s="7">
        <v>517.21</v>
      </c>
      <c r="G96" s="8">
        <v>1.6000000000000001E-3</v>
      </c>
      <c r="H96" s="14">
        <v>7.3296E-2</v>
      </c>
      <c r="I96" s="33"/>
    </row>
    <row r="97" spans="1:9" ht="12.95" customHeight="1" x14ac:dyDescent="0.2">
      <c r="A97" s="5" t="s">
        <v>602</v>
      </c>
      <c r="B97" s="32" t="s">
        <v>1348</v>
      </c>
      <c r="C97" s="4" t="s">
        <v>603</v>
      </c>
      <c r="D97" s="4" t="s">
        <v>332</v>
      </c>
      <c r="E97" s="6">
        <v>500000</v>
      </c>
      <c r="F97" s="7">
        <v>510.83</v>
      </c>
      <c r="G97" s="8">
        <v>1.6000000000000001E-3</v>
      </c>
      <c r="H97" s="14">
        <v>7.2983000000000006E-2</v>
      </c>
      <c r="I97" s="33"/>
    </row>
    <row r="98" spans="1:9" ht="12.95" customHeight="1" x14ac:dyDescent="0.2">
      <c r="A98" s="5" t="s">
        <v>604</v>
      </c>
      <c r="B98" s="32" t="s">
        <v>1349</v>
      </c>
      <c r="C98" s="4" t="s">
        <v>605</v>
      </c>
      <c r="D98" s="4" t="s">
        <v>332</v>
      </c>
      <c r="E98" s="6">
        <v>500000</v>
      </c>
      <c r="F98" s="7">
        <v>506.65</v>
      </c>
      <c r="G98" s="8">
        <v>1.5E-3</v>
      </c>
      <c r="H98" s="14">
        <v>7.5202000000000005E-2</v>
      </c>
      <c r="I98" s="33"/>
    </row>
    <row r="99" spans="1:9" ht="12.95" customHeight="1" x14ac:dyDescent="0.2">
      <c r="A99" s="5" t="s">
        <v>606</v>
      </c>
      <c r="B99" s="32" t="s">
        <v>1350</v>
      </c>
      <c r="C99" s="4" t="s">
        <v>607</v>
      </c>
      <c r="D99" s="4" t="s">
        <v>332</v>
      </c>
      <c r="E99" s="6">
        <v>500000</v>
      </c>
      <c r="F99" s="7">
        <v>505.01</v>
      </c>
      <c r="G99" s="8">
        <v>1.5E-3</v>
      </c>
      <c r="H99" s="14">
        <v>7.6304999999999998E-2</v>
      </c>
      <c r="I99" s="33"/>
    </row>
    <row r="100" spans="1:9" ht="12.95" customHeight="1" x14ac:dyDescent="0.2">
      <c r="A100" s="5" t="s">
        <v>608</v>
      </c>
      <c r="B100" s="32" t="s">
        <v>1351</v>
      </c>
      <c r="C100" s="4" t="s">
        <v>609</v>
      </c>
      <c r="D100" s="4" t="s">
        <v>332</v>
      </c>
      <c r="E100" s="6">
        <v>500000</v>
      </c>
      <c r="F100" s="7">
        <v>504.63</v>
      </c>
      <c r="G100" s="8">
        <v>1.5E-3</v>
      </c>
      <c r="H100" s="14">
        <v>7.1121000000000004E-2</v>
      </c>
      <c r="I100" s="33"/>
    </row>
    <row r="101" spans="1:9" ht="12.95" customHeight="1" x14ac:dyDescent="0.2">
      <c r="A101" s="5" t="s">
        <v>610</v>
      </c>
      <c r="B101" s="32" t="s">
        <v>1352</v>
      </c>
      <c r="C101" s="4" t="s">
        <v>611</v>
      </c>
      <c r="D101" s="4" t="s">
        <v>484</v>
      </c>
      <c r="E101" s="6">
        <v>500</v>
      </c>
      <c r="F101" s="7">
        <v>501.45</v>
      </c>
      <c r="G101" s="8">
        <v>1.5E-3</v>
      </c>
      <c r="H101" s="14">
        <v>7.7546000000000004E-2</v>
      </c>
      <c r="I101" s="33"/>
    </row>
    <row r="102" spans="1:9" ht="12.95" customHeight="1" x14ac:dyDescent="0.2">
      <c r="A102" s="5" t="s">
        <v>612</v>
      </c>
      <c r="B102" s="32" t="s">
        <v>1353</v>
      </c>
      <c r="C102" s="4" t="s">
        <v>613</v>
      </c>
      <c r="D102" s="4" t="s">
        <v>332</v>
      </c>
      <c r="E102" s="6">
        <v>500000</v>
      </c>
      <c r="F102" s="7">
        <v>501.23</v>
      </c>
      <c r="G102" s="8">
        <v>1.5E-3</v>
      </c>
      <c r="H102" s="14">
        <v>7.1633000000000002E-2</v>
      </c>
      <c r="I102" s="33"/>
    </row>
    <row r="103" spans="1:9" ht="12.95" customHeight="1" x14ac:dyDescent="0.2">
      <c r="A103" s="5" t="s">
        <v>614</v>
      </c>
      <c r="B103" s="32" t="s">
        <v>1354</v>
      </c>
      <c r="C103" s="4" t="s">
        <v>615</v>
      </c>
      <c r="D103" s="4" t="s">
        <v>484</v>
      </c>
      <c r="E103" s="6">
        <v>50000</v>
      </c>
      <c r="F103" s="7">
        <v>498.75</v>
      </c>
      <c r="G103" s="8">
        <v>1.5E-3</v>
      </c>
      <c r="H103" s="14">
        <v>7.8199000000000005E-2</v>
      </c>
      <c r="I103" s="33"/>
    </row>
    <row r="104" spans="1:9" ht="12.95" customHeight="1" x14ac:dyDescent="0.2">
      <c r="A104" s="5" t="s">
        <v>616</v>
      </c>
      <c r="B104" s="32" t="s">
        <v>1355</v>
      </c>
      <c r="C104" s="4" t="s">
        <v>617</v>
      </c>
      <c r="D104" s="4" t="s">
        <v>332</v>
      </c>
      <c r="E104" s="6">
        <v>500000</v>
      </c>
      <c r="F104" s="7">
        <v>498.23</v>
      </c>
      <c r="G104" s="8">
        <v>1.5E-3</v>
      </c>
      <c r="H104" s="14">
        <v>7.6304999999999998E-2</v>
      </c>
      <c r="I104" s="33"/>
    </row>
    <row r="105" spans="1:9" ht="12.95" customHeight="1" x14ac:dyDescent="0.2">
      <c r="A105" s="5" t="s">
        <v>618</v>
      </c>
      <c r="B105" s="32" t="s">
        <v>1356</v>
      </c>
      <c r="C105" s="4" t="s">
        <v>619</v>
      </c>
      <c r="D105" s="4" t="s">
        <v>332</v>
      </c>
      <c r="E105" s="6">
        <v>500000</v>
      </c>
      <c r="F105" s="7">
        <v>498.13</v>
      </c>
      <c r="G105" s="8">
        <v>1.5E-3</v>
      </c>
      <c r="H105" s="14">
        <v>7.5609999999999997E-2</v>
      </c>
      <c r="I105" s="33"/>
    </row>
    <row r="106" spans="1:9" ht="12.95" customHeight="1" x14ac:dyDescent="0.2">
      <c r="A106" s="5" t="s">
        <v>620</v>
      </c>
      <c r="B106" s="32" t="s">
        <v>1357</v>
      </c>
      <c r="C106" s="4" t="s">
        <v>621</v>
      </c>
      <c r="D106" s="4" t="s">
        <v>332</v>
      </c>
      <c r="E106" s="6">
        <v>500000</v>
      </c>
      <c r="F106" s="7">
        <v>497.57</v>
      </c>
      <c r="G106" s="8">
        <v>1.5E-3</v>
      </c>
      <c r="H106" s="14">
        <v>7.5627E-2</v>
      </c>
      <c r="I106" s="33"/>
    </row>
    <row r="107" spans="1:9" ht="12.95" customHeight="1" x14ac:dyDescent="0.2">
      <c r="A107" s="5" t="s">
        <v>622</v>
      </c>
      <c r="B107" s="32" t="s">
        <v>1358</v>
      </c>
      <c r="C107" s="4" t="s">
        <v>623</v>
      </c>
      <c r="D107" s="4" t="s">
        <v>332</v>
      </c>
      <c r="E107" s="6">
        <v>500000</v>
      </c>
      <c r="F107" s="7">
        <v>497.41</v>
      </c>
      <c r="G107" s="8">
        <v>1.5E-3</v>
      </c>
      <c r="H107" s="14">
        <v>7.5609999999999997E-2</v>
      </c>
      <c r="I107" s="33"/>
    </row>
    <row r="108" spans="1:9" ht="12.95" customHeight="1" x14ac:dyDescent="0.2">
      <c r="A108" s="5" t="s">
        <v>624</v>
      </c>
      <c r="B108" s="32" t="s">
        <v>1359</v>
      </c>
      <c r="C108" s="4" t="s">
        <v>625</v>
      </c>
      <c r="D108" s="4" t="s">
        <v>332</v>
      </c>
      <c r="E108" s="6">
        <v>500000</v>
      </c>
      <c r="F108" s="7">
        <v>495.88</v>
      </c>
      <c r="G108" s="8">
        <v>1.5E-3</v>
      </c>
      <c r="H108" s="14">
        <v>7.6822000000000001E-2</v>
      </c>
      <c r="I108" s="33"/>
    </row>
    <row r="109" spans="1:9" ht="12.95" customHeight="1" x14ac:dyDescent="0.2">
      <c r="A109" s="5" t="s">
        <v>626</v>
      </c>
      <c r="B109" s="32" t="s">
        <v>1360</v>
      </c>
      <c r="C109" s="4" t="s">
        <v>627</v>
      </c>
      <c r="D109" s="4" t="s">
        <v>332</v>
      </c>
      <c r="E109" s="6">
        <v>500000</v>
      </c>
      <c r="F109" s="7">
        <v>494.8</v>
      </c>
      <c r="G109" s="8">
        <v>1.5E-3</v>
      </c>
      <c r="H109" s="14">
        <v>7.5627E-2</v>
      </c>
      <c r="I109" s="33"/>
    </row>
    <row r="110" spans="1:9" ht="12.95" customHeight="1" x14ac:dyDescent="0.2">
      <c r="A110" s="5" t="s">
        <v>628</v>
      </c>
      <c r="B110" s="32" t="s">
        <v>1361</v>
      </c>
      <c r="C110" s="4" t="s">
        <v>629</v>
      </c>
      <c r="D110" s="4" t="s">
        <v>332</v>
      </c>
      <c r="E110" s="6">
        <v>500000</v>
      </c>
      <c r="F110" s="7">
        <v>494.65</v>
      </c>
      <c r="G110" s="8">
        <v>1.5E-3</v>
      </c>
      <c r="H110" s="14">
        <v>7.4659000000000003E-2</v>
      </c>
      <c r="I110" s="33"/>
    </row>
    <row r="111" spans="1:9" ht="12.95" customHeight="1" x14ac:dyDescent="0.2">
      <c r="A111" s="5" t="s">
        <v>630</v>
      </c>
      <c r="B111" s="32" t="s">
        <v>1362</v>
      </c>
      <c r="C111" s="4" t="s">
        <v>631</v>
      </c>
      <c r="D111" s="4" t="s">
        <v>332</v>
      </c>
      <c r="E111" s="6">
        <v>500000</v>
      </c>
      <c r="F111" s="7">
        <v>494.55</v>
      </c>
      <c r="G111" s="8">
        <v>1.5E-3</v>
      </c>
      <c r="H111" s="14">
        <v>7.5627E-2</v>
      </c>
      <c r="I111" s="33"/>
    </row>
    <row r="112" spans="1:9" ht="12.95" customHeight="1" x14ac:dyDescent="0.2">
      <c r="A112" s="5" t="s">
        <v>632</v>
      </c>
      <c r="B112" s="32" t="s">
        <v>1363</v>
      </c>
      <c r="C112" s="4" t="s">
        <v>633</v>
      </c>
      <c r="D112" s="4" t="s">
        <v>332</v>
      </c>
      <c r="E112" s="6">
        <v>500000</v>
      </c>
      <c r="F112" s="7">
        <v>491.99</v>
      </c>
      <c r="G112" s="8">
        <v>1.5E-3</v>
      </c>
      <c r="H112" s="14">
        <v>7.4827000000000005E-2</v>
      </c>
      <c r="I112" s="33"/>
    </row>
    <row r="113" spans="1:9" ht="12.95" customHeight="1" x14ac:dyDescent="0.2">
      <c r="A113" s="5" t="s">
        <v>634</v>
      </c>
      <c r="B113" s="32" t="s">
        <v>1364</v>
      </c>
      <c r="C113" s="4" t="s">
        <v>635</v>
      </c>
      <c r="D113" s="4" t="s">
        <v>332</v>
      </c>
      <c r="E113" s="6">
        <v>500000</v>
      </c>
      <c r="F113" s="7">
        <v>491.67</v>
      </c>
      <c r="G113" s="8">
        <v>1.5E-3</v>
      </c>
      <c r="H113" s="14">
        <v>7.4827000000000005E-2</v>
      </c>
      <c r="I113" s="33"/>
    </row>
    <row r="114" spans="1:9" ht="12.95" customHeight="1" x14ac:dyDescent="0.2">
      <c r="A114" s="5" t="s">
        <v>636</v>
      </c>
      <c r="B114" s="32" t="s">
        <v>1365</v>
      </c>
      <c r="C114" s="4" t="s">
        <v>637</v>
      </c>
      <c r="D114" s="4" t="s">
        <v>332</v>
      </c>
      <c r="E114" s="6">
        <v>500000</v>
      </c>
      <c r="F114" s="7">
        <v>490.94</v>
      </c>
      <c r="G114" s="8">
        <v>1.5E-3</v>
      </c>
      <c r="H114" s="14">
        <v>7.5097999999999998E-2</v>
      </c>
      <c r="I114" s="33"/>
    </row>
    <row r="115" spans="1:9" ht="12.95" customHeight="1" x14ac:dyDescent="0.2">
      <c r="A115" s="5" t="s">
        <v>638</v>
      </c>
      <c r="B115" s="32" t="s">
        <v>1366</v>
      </c>
      <c r="C115" s="4" t="s">
        <v>639</v>
      </c>
      <c r="D115" s="4" t="s">
        <v>332</v>
      </c>
      <c r="E115" s="6">
        <v>500000</v>
      </c>
      <c r="F115" s="7">
        <v>488.51</v>
      </c>
      <c r="G115" s="8">
        <v>1.5E-3</v>
      </c>
      <c r="H115" s="14">
        <v>7.4697E-2</v>
      </c>
      <c r="I115" s="33"/>
    </row>
    <row r="116" spans="1:9" ht="12.95" customHeight="1" x14ac:dyDescent="0.2">
      <c r="A116" s="5" t="s">
        <v>640</v>
      </c>
      <c r="B116" s="32" t="s">
        <v>1367</v>
      </c>
      <c r="C116" s="4" t="s">
        <v>641</v>
      </c>
      <c r="D116" s="4" t="s">
        <v>332</v>
      </c>
      <c r="E116" s="6">
        <v>500000</v>
      </c>
      <c r="F116" s="7">
        <v>487.44</v>
      </c>
      <c r="G116" s="8">
        <v>1.5E-3</v>
      </c>
      <c r="H116" s="14">
        <v>7.5097999999999998E-2</v>
      </c>
      <c r="I116" s="33"/>
    </row>
    <row r="117" spans="1:9" ht="12.95" customHeight="1" x14ac:dyDescent="0.2">
      <c r="A117" s="5" t="s">
        <v>642</v>
      </c>
      <c r="B117" s="32" t="s">
        <v>1368</v>
      </c>
      <c r="C117" s="4" t="s">
        <v>643</v>
      </c>
      <c r="D117" s="4" t="s">
        <v>332</v>
      </c>
      <c r="E117" s="6">
        <v>500000</v>
      </c>
      <c r="F117" s="7">
        <v>484.78</v>
      </c>
      <c r="G117" s="8">
        <v>1.5E-3</v>
      </c>
      <c r="H117" s="14">
        <v>7.2882000000000002E-2</v>
      </c>
      <c r="I117" s="33"/>
    </row>
    <row r="118" spans="1:9" ht="12.95" customHeight="1" x14ac:dyDescent="0.2">
      <c r="A118" s="46"/>
      <c r="B118" s="34" t="s">
        <v>128</v>
      </c>
      <c r="C118" s="1"/>
      <c r="D118" s="1"/>
      <c r="E118" s="1"/>
      <c r="F118" s="10">
        <f>SUM(F31:F117)</f>
        <v>237669.67999999996</v>
      </c>
      <c r="G118" s="11">
        <f>SUM(G31:G117)</f>
        <v>0.72479999999999933</v>
      </c>
      <c r="H118" s="12"/>
      <c r="I118" s="35"/>
    </row>
    <row r="119" spans="1:9" ht="12.95" customHeight="1" x14ac:dyDescent="0.2">
      <c r="A119" s="46"/>
      <c r="B119" s="34" t="s">
        <v>359</v>
      </c>
      <c r="C119" s="1"/>
      <c r="D119" s="1"/>
      <c r="E119" s="1"/>
      <c r="F119" s="12" t="s">
        <v>164</v>
      </c>
      <c r="G119" s="12" t="s">
        <v>164</v>
      </c>
      <c r="H119" s="12"/>
      <c r="I119" s="35"/>
    </row>
    <row r="120" spans="1:9" ht="12.95" customHeight="1" x14ac:dyDescent="0.2">
      <c r="A120" s="46"/>
      <c r="B120" s="34" t="s">
        <v>128</v>
      </c>
      <c r="C120" s="1"/>
      <c r="D120" s="1"/>
      <c r="E120" s="1"/>
      <c r="F120" s="12" t="s">
        <v>164</v>
      </c>
      <c r="G120" s="12" t="s">
        <v>164</v>
      </c>
      <c r="H120" s="12"/>
      <c r="I120" s="35"/>
    </row>
    <row r="121" spans="1:9" ht="12.95" customHeight="1" x14ac:dyDescent="0.2">
      <c r="A121" s="46"/>
      <c r="B121" s="34" t="s">
        <v>165</v>
      </c>
      <c r="C121" s="13"/>
      <c r="D121" s="1"/>
      <c r="E121" s="13"/>
      <c r="F121" s="10">
        <v>237669.68</v>
      </c>
      <c r="G121" s="11">
        <v>0.7248</v>
      </c>
      <c r="H121" s="12"/>
      <c r="I121" s="35"/>
    </row>
    <row r="122" spans="1:9" ht="12.95" customHeight="1" x14ac:dyDescent="0.2">
      <c r="A122" s="46"/>
      <c r="B122" s="31" t="s">
        <v>194</v>
      </c>
      <c r="C122" s="4"/>
      <c r="D122" s="4"/>
      <c r="E122" s="4"/>
      <c r="F122" s="4"/>
      <c r="G122" s="4"/>
      <c r="H122" s="49"/>
      <c r="I122" s="50"/>
    </row>
    <row r="123" spans="1:9" ht="12.95" customHeight="1" x14ac:dyDescent="0.2">
      <c r="A123" s="46"/>
      <c r="B123" s="31" t="s">
        <v>195</v>
      </c>
      <c r="C123" s="4"/>
      <c r="D123" s="4"/>
      <c r="E123" s="4"/>
      <c r="F123" s="51"/>
      <c r="G123" s="49"/>
      <c r="H123" s="49"/>
      <c r="I123" s="50"/>
    </row>
    <row r="124" spans="1:9" ht="12.95" customHeight="1" x14ac:dyDescent="0.2">
      <c r="A124" s="5" t="s">
        <v>299</v>
      </c>
      <c r="B124" s="32" t="s">
        <v>1233</v>
      </c>
      <c r="C124" s="4" t="s">
        <v>300</v>
      </c>
      <c r="D124" s="4" t="s">
        <v>198</v>
      </c>
      <c r="E124" s="6">
        <v>1000</v>
      </c>
      <c r="F124" s="7">
        <v>4710.87</v>
      </c>
      <c r="G124" s="8">
        <v>1.44E-2</v>
      </c>
      <c r="H124" s="14">
        <v>7.2499999999999995E-2</v>
      </c>
      <c r="I124" s="33"/>
    </row>
    <row r="125" spans="1:9" ht="12.95" customHeight="1" x14ac:dyDescent="0.2">
      <c r="A125" s="46"/>
      <c r="B125" s="34" t="s">
        <v>128</v>
      </c>
      <c r="C125" s="1"/>
      <c r="D125" s="1"/>
      <c r="E125" s="1"/>
      <c r="F125" s="10">
        <v>4710.87</v>
      </c>
      <c r="G125" s="11">
        <v>1.44E-2</v>
      </c>
      <c r="H125" s="12"/>
      <c r="I125" s="35"/>
    </row>
    <row r="126" spans="1:9" ht="12.95" customHeight="1" x14ac:dyDescent="0.2">
      <c r="A126" s="46"/>
      <c r="B126" s="31" t="s">
        <v>328</v>
      </c>
      <c r="C126" s="4"/>
      <c r="D126" s="4"/>
      <c r="E126" s="4"/>
      <c r="F126" s="51"/>
      <c r="G126" s="49"/>
      <c r="H126" s="49"/>
      <c r="I126" s="50"/>
    </row>
    <row r="127" spans="1:9" ht="12.95" customHeight="1" x14ac:dyDescent="0.2">
      <c r="A127" s="5" t="s">
        <v>336</v>
      </c>
      <c r="B127" s="32" t="s">
        <v>337</v>
      </c>
      <c r="C127" s="4" t="s">
        <v>338</v>
      </c>
      <c r="D127" s="4" t="s">
        <v>332</v>
      </c>
      <c r="E127" s="6">
        <v>500000</v>
      </c>
      <c r="F127" s="7">
        <v>491.28</v>
      </c>
      <c r="G127" s="8">
        <v>1.5E-3</v>
      </c>
      <c r="H127" s="14">
        <v>5.3996000000000002E-2</v>
      </c>
      <c r="I127" s="33"/>
    </row>
    <row r="128" spans="1:9" ht="12.95" customHeight="1" x14ac:dyDescent="0.2">
      <c r="A128" s="46"/>
      <c r="B128" s="34" t="s">
        <v>128</v>
      </c>
      <c r="C128" s="1"/>
      <c r="D128" s="1"/>
      <c r="E128" s="1"/>
      <c r="F128" s="10">
        <v>491.28</v>
      </c>
      <c r="G128" s="11">
        <v>1.5E-3</v>
      </c>
      <c r="H128" s="12"/>
      <c r="I128" s="35"/>
    </row>
    <row r="129" spans="1:9" ht="12.95" customHeight="1" x14ac:dyDescent="0.2">
      <c r="A129" s="46"/>
      <c r="B129" s="34" t="s">
        <v>165</v>
      </c>
      <c r="C129" s="13"/>
      <c r="D129" s="1"/>
      <c r="E129" s="13"/>
      <c r="F129" s="10">
        <v>5202.1499999999996</v>
      </c>
      <c r="G129" s="11">
        <v>1.5900000000000001E-2</v>
      </c>
      <c r="H129" s="12"/>
      <c r="I129" s="35"/>
    </row>
    <row r="130" spans="1:9" ht="12.95" customHeight="1" x14ac:dyDescent="0.2">
      <c r="A130" s="46"/>
      <c r="B130" s="31" t="s">
        <v>342</v>
      </c>
      <c r="C130" s="4"/>
      <c r="D130" s="4"/>
      <c r="E130" s="4"/>
      <c r="F130" s="4"/>
      <c r="G130" s="4"/>
      <c r="H130" s="49"/>
      <c r="I130" s="50"/>
    </row>
    <row r="131" spans="1:9" ht="12.95" customHeight="1" x14ac:dyDescent="0.2">
      <c r="A131" s="46"/>
      <c r="B131" s="31" t="s">
        <v>425</v>
      </c>
      <c r="C131" s="4"/>
      <c r="D131" s="4"/>
      <c r="E131" s="4"/>
      <c r="F131" s="51"/>
      <c r="G131" s="49"/>
      <c r="H131" s="49"/>
      <c r="I131" s="50"/>
    </row>
    <row r="132" spans="1:9" ht="12.95" customHeight="1" x14ac:dyDescent="0.2">
      <c r="A132" s="5" t="s">
        <v>426</v>
      </c>
      <c r="B132" s="32" t="s">
        <v>1285</v>
      </c>
      <c r="C132" s="4" t="s">
        <v>427</v>
      </c>
      <c r="D132" s="4" t="s">
        <v>183</v>
      </c>
      <c r="E132" s="6">
        <v>7580.9719999999998</v>
      </c>
      <c r="F132" s="7">
        <v>886.43</v>
      </c>
      <c r="G132" s="8">
        <v>2.7000000000000001E-3</v>
      </c>
      <c r="H132" s="14">
        <v>5.7200000000000001E-2</v>
      </c>
      <c r="I132" s="33"/>
    </row>
    <row r="133" spans="1:9" ht="12.95" customHeight="1" x14ac:dyDescent="0.2">
      <c r="A133" s="46"/>
      <c r="B133" s="34" t="s">
        <v>128</v>
      </c>
      <c r="C133" s="1"/>
      <c r="D133" s="1"/>
      <c r="E133" s="1"/>
      <c r="F133" s="10">
        <v>886.43</v>
      </c>
      <c r="G133" s="11">
        <v>2.7000000000000001E-3</v>
      </c>
      <c r="H133" s="12"/>
      <c r="I133" s="35"/>
    </row>
    <row r="134" spans="1:9" ht="12.95" customHeight="1" x14ac:dyDescent="0.2">
      <c r="A134" s="46"/>
      <c r="B134" s="31" t="s">
        <v>343</v>
      </c>
      <c r="C134" s="4"/>
      <c r="D134" s="4"/>
      <c r="E134" s="4"/>
      <c r="F134" s="51"/>
      <c r="G134" s="49"/>
      <c r="H134" s="49"/>
      <c r="I134" s="50"/>
    </row>
    <row r="135" spans="1:9" ht="12.95" customHeight="1" x14ac:dyDescent="0.2">
      <c r="A135" s="5" t="s">
        <v>344</v>
      </c>
      <c r="B135" s="32" t="s">
        <v>345</v>
      </c>
      <c r="C135" s="4" t="s">
        <v>346</v>
      </c>
      <c r="D135" s="4" t="s">
        <v>183</v>
      </c>
      <c r="E135" s="6">
        <v>254235.948</v>
      </c>
      <c r="F135" s="7">
        <v>3873.18</v>
      </c>
      <c r="G135" s="8">
        <v>1.18E-2</v>
      </c>
      <c r="H135" s="14"/>
      <c r="I135" s="33"/>
    </row>
    <row r="136" spans="1:9" ht="12.95" customHeight="1" x14ac:dyDescent="0.2">
      <c r="A136" s="46"/>
      <c r="B136" s="34" t="s">
        <v>128</v>
      </c>
      <c r="C136" s="1"/>
      <c r="D136" s="1"/>
      <c r="E136" s="1"/>
      <c r="F136" s="10">
        <v>3873.18</v>
      </c>
      <c r="G136" s="11">
        <v>1.18E-2</v>
      </c>
      <c r="H136" s="12"/>
      <c r="I136" s="35"/>
    </row>
    <row r="137" spans="1:9" ht="12.95" customHeight="1" x14ac:dyDescent="0.2">
      <c r="A137" s="46"/>
      <c r="B137" s="34" t="s">
        <v>165</v>
      </c>
      <c r="C137" s="13"/>
      <c r="D137" s="1"/>
      <c r="E137" s="13"/>
      <c r="F137" s="10">
        <v>4759.6099999999997</v>
      </c>
      <c r="G137" s="11">
        <v>1.4500000000000001E-2</v>
      </c>
      <c r="H137" s="12"/>
      <c r="I137" s="35"/>
    </row>
    <row r="138" spans="1:9" ht="12.95" customHeight="1" x14ac:dyDescent="0.2">
      <c r="A138" s="46"/>
      <c r="B138" s="31" t="s">
        <v>347</v>
      </c>
      <c r="C138" s="4"/>
      <c r="D138" s="4"/>
      <c r="E138" s="4"/>
      <c r="F138" s="4"/>
      <c r="G138" s="4"/>
      <c r="H138" s="49"/>
      <c r="I138" s="50"/>
    </row>
    <row r="139" spans="1:9" ht="12.95" customHeight="1" x14ac:dyDescent="0.2">
      <c r="A139" s="5" t="s">
        <v>348</v>
      </c>
      <c r="B139" s="32" t="s">
        <v>348</v>
      </c>
      <c r="C139" s="4"/>
      <c r="D139" s="4" t="s">
        <v>183</v>
      </c>
      <c r="E139" s="6"/>
      <c r="F139" s="7">
        <v>7693.92</v>
      </c>
      <c r="G139" s="8">
        <v>2.35E-2</v>
      </c>
      <c r="H139" s="14">
        <v>5.1293338974494639E-2</v>
      </c>
      <c r="I139" s="33"/>
    </row>
    <row r="140" spans="1:9" ht="12.95" customHeight="1" x14ac:dyDescent="0.2">
      <c r="A140" s="46"/>
      <c r="B140" s="34" t="s">
        <v>128</v>
      </c>
      <c r="C140" s="1"/>
      <c r="D140" s="1"/>
      <c r="E140" s="1"/>
      <c r="F140" s="10">
        <v>7693.92</v>
      </c>
      <c r="G140" s="11">
        <v>2.35E-2</v>
      </c>
      <c r="H140" s="12"/>
      <c r="I140" s="35"/>
    </row>
    <row r="141" spans="1:9" ht="12.95" customHeight="1" x14ac:dyDescent="0.2">
      <c r="A141" s="46"/>
      <c r="B141" s="34" t="s">
        <v>165</v>
      </c>
      <c r="C141" s="13"/>
      <c r="D141" s="1"/>
      <c r="E141" s="13"/>
      <c r="F141" s="10">
        <v>7693.92</v>
      </c>
      <c r="G141" s="11">
        <v>2.35E-2</v>
      </c>
      <c r="H141" s="12"/>
      <c r="I141" s="35"/>
    </row>
    <row r="142" spans="1:9" ht="12.95" customHeight="1" x14ac:dyDescent="0.2">
      <c r="A142" s="46"/>
      <c r="B142" s="34" t="s">
        <v>350</v>
      </c>
      <c r="C142" s="4"/>
      <c r="D142" s="1"/>
      <c r="E142" s="4"/>
      <c r="F142" s="15">
        <f>6680.3+E152</f>
        <v>4394.43</v>
      </c>
      <c r="G142" s="11">
        <f>1.98%+F151</f>
        <v>1.2799999999999999E-2</v>
      </c>
      <c r="H142" s="12"/>
      <c r="I142" s="35"/>
    </row>
    <row r="143" spans="1:9" ht="12.95" customHeight="1" x14ac:dyDescent="0.2">
      <c r="A143" s="46"/>
      <c r="B143" s="36" t="s">
        <v>351</v>
      </c>
      <c r="C143" s="23"/>
      <c r="D143" s="23"/>
      <c r="E143" s="23"/>
      <c r="F143" s="24">
        <v>328076.79999999999</v>
      </c>
      <c r="G143" s="25">
        <v>1</v>
      </c>
      <c r="H143" s="26"/>
      <c r="I143" s="37"/>
    </row>
    <row r="145" spans="1:9" ht="12.95" customHeight="1" x14ac:dyDescent="0.2">
      <c r="A145" s="46"/>
      <c r="B145" s="39" t="s">
        <v>179</v>
      </c>
      <c r="C145" s="38"/>
      <c r="D145" s="38"/>
      <c r="E145" s="38"/>
      <c r="F145" s="38"/>
      <c r="G145" s="38"/>
      <c r="H145" s="52"/>
      <c r="I145" s="52"/>
    </row>
    <row r="146" spans="1:9" ht="30.75" customHeight="1" x14ac:dyDescent="0.2">
      <c r="A146" s="46"/>
      <c r="B146" s="55" t="s">
        <v>2</v>
      </c>
      <c r="C146" s="56" t="s">
        <v>1247</v>
      </c>
      <c r="D146" s="56" t="s">
        <v>5</v>
      </c>
      <c r="E146" s="56" t="s">
        <v>1248</v>
      </c>
      <c r="F146" s="56" t="s">
        <v>1249</v>
      </c>
      <c r="G146" s="57" t="s">
        <v>1250</v>
      </c>
      <c r="H146" s="46"/>
    </row>
    <row r="147" spans="1:9" ht="12.95" customHeight="1" x14ac:dyDescent="0.2">
      <c r="A147" s="46"/>
      <c r="B147" s="40" t="s">
        <v>180</v>
      </c>
      <c r="C147" s="41"/>
      <c r="D147" s="41"/>
      <c r="E147" s="54"/>
      <c r="F147" s="53"/>
      <c r="G147" s="53"/>
      <c r="H147" s="46"/>
    </row>
    <row r="148" spans="1:9" ht="12.95" customHeight="1" x14ac:dyDescent="0.2">
      <c r="A148" s="5" t="s">
        <v>462</v>
      </c>
      <c r="B148" s="42" t="s">
        <v>467</v>
      </c>
      <c r="C148" s="4" t="s">
        <v>1251</v>
      </c>
      <c r="D148" s="7">
        <v>-115125</v>
      </c>
      <c r="E148" s="7">
        <v>-1287.67</v>
      </c>
      <c r="F148" s="8">
        <v>-3.8999999999999998E-3</v>
      </c>
      <c r="G148" s="9"/>
      <c r="H148" s="46"/>
    </row>
    <row r="149" spans="1:9" ht="12.95" customHeight="1" x14ac:dyDescent="0.2">
      <c r="A149" s="5" t="s">
        <v>464</v>
      </c>
      <c r="B149" s="32" t="s">
        <v>465</v>
      </c>
      <c r="C149" s="4" t="s">
        <v>1251</v>
      </c>
      <c r="D149" s="7">
        <v>-45600</v>
      </c>
      <c r="E149" s="7">
        <v>-816.47</v>
      </c>
      <c r="F149" s="8">
        <v>-2.5000000000000001E-3</v>
      </c>
      <c r="G149" s="9"/>
      <c r="H149" s="46"/>
    </row>
    <row r="150" spans="1:9" ht="12.95" customHeight="1" x14ac:dyDescent="0.2">
      <c r="A150" s="5" t="s">
        <v>466</v>
      </c>
      <c r="B150" s="32" t="s">
        <v>463</v>
      </c>
      <c r="C150" s="4" t="s">
        <v>1251</v>
      </c>
      <c r="D150" s="7">
        <v>-45150</v>
      </c>
      <c r="E150" s="7">
        <v>-181.73</v>
      </c>
      <c r="F150" s="8">
        <v>-5.9999999999999995E-4</v>
      </c>
      <c r="G150" s="9"/>
      <c r="H150" s="46"/>
    </row>
    <row r="151" spans="1:9" ht="12.95" customHeight="1" x14ac:dyDescent="0.2">
      <c r="A151" s="46"/>
      <c r="B151" s="34" t="s">
        <v>128</v>
      </c>
      <c r="C151" s="1"/>
      <c r="D151" s="1"/>
      <c r="E151" s="10">
        <v>-2285.87</v>
      </c>
      <c r="F151" s="11">
        <v>-7.0000000000000001E-3</v>
      </c>
      <c r="G151" s="12"/>
      <c r="H151" s="46"/>
    </row>
    <row r="152" spans="1:9" ht="12.95" customHeight="1" x14ac:dyDescent="0.2">
      <c r="A152" s="46"/>
      <c r="B152" s="34" t="s">
        <v>165</v>
      </c>
      <c r="C152" s="13"/>
      <c r="D152" s="13"/>
      <c r="E152" s="10">
        <v>-2285.87</v>
      </c>
      <c r="F152" s="11">
        <v>-7.0000000000000001E-3</v>
      </c>
      <c r="G152" s="12"/>
      <c r="H152" s="46"/>
    </row>
    <row r="154" spans="1:9" x14ac:dyDescent="0.2">
      <c r="B154" s="47" t="s">
        <v>1252</v>
      </c>
    </row>
    <row r="155" spans="1:9" x14ac:dyDescent="0.2">
      <c r="B155" s="47" t="s">
        <v>1253</v>
      </c>
    </row>
    <row r="156" spans="1:9" x14ac:dyDescent="0.2">
      <c r="B156" s="47" t="s">
        <v>1254</v>
      </c>
    </row>
    <row r="157" spans="1:9" x14ac:dyDescent="0.2">
      <c r="B157" s="47" t="s">
        <v>1255</v>
      </c>
    </row>
    <row r="159" spans="1:9" x14ac:dyDescent="0.2">
      <c r="B159" s="137" t="s">
        <v>1420</v>
      </c>
      <c r="C159" s="138"/>
      <c r="D159" s="139"/>
      <c r="E159" s="60"/>
      <c r="F159" s="191"/>
      <c r="G159" s="192"/>
      <c r="H159" s="193"/>
    </row>
    <row r="160" spans="1:9" x14ac:dyDescent="0.2">
      <c r="B160" s="141" t="s">
        <v>1421</v>
      </c>
      <c r="C160" s="75"/>
      <c r="D160" s="69"/>
      <c r="E160" s="69"/>
      <c r="F160" s="75"/>
      <c r="G160" s="77"/>
      <c r="H160" s="194"/>
    </row>
    <row r="161" spans="2:8" ht="36" x14ac:dyDescent="0.2">
      <c r="B161" s="473" t="s">
        <v>1422</v>
      </c>
      <c r="C161" s="474" t="s">
        <v>1423</v>
      </c>
      <c r="D161" s="145" t="s">
        <v>1424</v>
      </c>
      <c r="E161" s="145" t="s">
        <v>1424</v>
      </c>
      <c r="F161" s="145" t="s">
        <v>1425</v>
      </c>
      <c r="G161" s="77"/>
      <c r="H161" s="194"/>
    </row>
    <row r="162" spans="2:8" x14ac:dyDescent="0.2">
      <c r="B162" s="473"/>
      <c r="C162" s="474"/>
      <c r="D162" s="145" t="s">
        <v>1426</v>
      </c>
      <c r="E162" s="145" t="s">
        <v>1427</v>
      </c>
      <c r="F162" s="145" t="s">
        <v>1426</v>
      </c>
      <c r="G162" s="77"/>
      <c r="H162" s="194"/>
    </row>
    <row r="163" spans="2:8" x14ac:dyDescent="0.2">
      <c r="B163" s="143" t="s">
        <v>164</v>
      </c>
      <c r="C163" s="143" t="s">
        <v>164</v>
      </c>
      <c r="D163" s="143" t="s">
        <v>164</v>
      </c>
      <c r="E163" s="143" t="s">
        <v>164</v>
      </c>
      <c r="F163" s="143" t="s">
        <v>164</v>
      </c>
      <c r="G163" s="77"/>
      <c r="H163" s="194"/>
    </row>
    <row r="164" spans="2:8" x14ac:dyDescent="0.2">
      <c r="B164" s="195"/>
      <c r="C164" s="147"/>
      <c r="D164" s="147"/>
      <c r="E164" s="147"/>
      <c r="F164" s="147"/>
      <c r="G164" s="77"/>
      <c r="H164" s="194"/>
    </row>
    <row r="165" spans="2:8" x14ac:dyDescent="0.2">
      <c r="B165" s="149" t="s">
        <v>1493</v>
      </c>
      <c r="C165" s="75"/>
      <c r="D165" s="196"/>
      <c r="E165" s="75"/>
      <c r="F165" s="75"/>
      <c r="G165" s="77"/>
      <c r="H165" s="194"/>
    </row>
    <row r="166" spans="2:8" x14ac:dyDescent="0.2">
      <c r="B166" s="150" t="s">
        <v>1494</v>
      </c>
      <c r="C166" s="74">
        <v>46080</v>
      </c>
      <c r="D166" s="74">
        <v>46112</v>
      </c>
      <c r="E166" s="151"/>
      <c r="F166" s="75"/>
      <c r="G166" s="77"/>
      <c r="H166" s="194"/>
    </row>
    <row r="167" spans="2:8" x14ac:dyDescent="0.2">
      <c r="B167" s="197" t="s">
        <v>1495</v>
      </c>
      <c r="C167" s="150"/>
      <c r="D167" s="150"/>
      <c r="E167" s="75"/>
      <c r="F167" s="75"/>
      <c r="G167" s="77"/>
      <c r="H167" s="194"/>
    </row>
    <row r="168" spans="2:8" x14ac:dyDescent="0.2">
      <c r="B168" s="150" t="s">
        <v>1570</v>
      </c>
      <c r="C168" s="76">
        <v>15.9169</v>
      </c>
      <c r="D168" s="76">
        <v>15.5671</v>
      </c>
      <c r="E168" s="75"/>
      <c r="F168" s="198"/>
      <c r="G168" s="77"/>
      <c r="H168" s="194"/>
    </row>
    <row r="169" spans="2:8" x14ac:dyDescent="0.2">
      <c r="B169" s="150" t="s">
        <v>1571</v>
      </c>
      <c r="C169" s="76">
        <v>11.143800000000001</v>
      </c>
      <c r="D169" s="76">
        <v>10.8131</v>
      </c>
      <c r="E169" s="75"/>
      <c r="F169" s="199"/>
      <c r="G169" s="77"/>
      <c r="H169" s="194"/>
    </row>
    <row r="170" spans="2:8" x14ac:dyDescent="0.2">
      <c r="B170" s="197" t="s">
        <v>1500</v>
      </c>
      <c r="C170" s="76"/>
      <c r="D170" s="76"/>
      <c r="E170" s="75"/>
      <c r="F170" s="198"/>
      <c r="G170" s="77"/>
      <c r="H170" s="194"/>
    </row>
    <row r="171" spans="2:8" x14ac:dyDescent="0.2">
      <c r="B171" s="150" t="s">
        <v>1572</v>
      </c>
      <c r="C171" s="76">
        <v>15.6921</v>
      </c>
      <c r="D171" s="76">
        <v>15.3432</v>
      </c>
      <c r="E171" s="75"/>
      <c r="F171" s="199"/>
      <c r="G171" s="77"/>
      <c r="H171" s="194"/>
    </row>
    <row r="172" spans="2:8" x14ac:dyDescent="0.2">
      <c r="B172" s="150" t="s">
        <v>1573</v>
      </c>
      <c r="C172" s="76">
        <v>10.89</v>
      </c>
      <c r="D172" s="76">
        <v>10.550599999999999</v>
      </c>
      <c r="E172" s="75"/>
      <c r="F172" s="198"/>
      <c r="G172" s="77"/>
      <c r="H172" s="194"/>
    </row>
    <row r="173" spans="2:8" x14ac:dyDescent="0.2">
      <c r="B173" s="141"/>
      <c r="C173" s="75"/>
      <c r="D173" s="75"/>
      <c r="E173" s="75"/>
      <c r="F173" s="75"/>
      <c r="G173" s="77"/>
      <c r="H173" s="194"/>
    </row>
    <row r="174" spans="2:8" x14ac:dyDescent="0.2">
      <c r="B174" s="149" t="s">
        <v>1717</v>
      </c>
      <c r="C174" s="154"/>
      <c r="D174" s="154"/>
      <c r="E174" s="154"/>
      <c r="F174" s="75"/>
      <c r="G174" s="77"/>
      <c r="H174" s="194"/>
    </row>
    <row r="175" spans="2:8" ht="24" x14ac:dyDescent="0.2">
      <c r="B175" s="200" t="s">
        <v>1505</v>
      </c>
      <c r="C175" s="201" t="s">
        <v>1514</v>
      </c>
      <c r="D175" s="201" t="s">
        <v>1718</v>
      </c>
      <c r="E175" s="201" t="s">
        <v>1719</v>
      </c>
      <c r="F175" s="75"/>
      <c r="G175" s="77"/>
      <c r="H175" s="194"/>
    </row>
    <row r="176" spans="2:8" ht="24" x14ac:dyDescent="0.2">
      <c r="B176" s="202" t="s">
        <v>1650</v>
      </c>
      <c r="C176" s="203" t="s">
        <v>1515</v>
      </c>
      <c r="D176" s="88">
        <v>8.5812340000000001E-2</v>
      </c>
      <c r="E176" s="88">
        <v>8.5812340000000001E-2</v>
      </c>
      <c r="F176" s="75"/>
      <c r="G176" s="77"/>
      <c r="H176" s="194"/>
    </row>
    <row r="177" spans="2:8" ht="24" x14ac:dyDescent="0.2">
      <c r="B177" s="200" t="s">
        <v>1505</v>
      </c>
      <c r="C177" s="201" t="s">
        <v>1516</v>
      </c>
      <c r="D177" s="201" t="s">
        <v>1718</v>
      </c>
      <c r="E177" s="201" t="s">
        <v>1719</v>
      </c>
      <c r="F177" s="64"/>
      <c r="G177" s="77"/>
      <c r="H177" s="194"/>
    </row>
    <row r="178" spans="2:8" ht="24" x14ac:dyDescent="0.2">
      <c r="B178" s="202" t="s">
        <v>1650</v>
      </c>
      <c r="C178" s="203" t="s">
        <v>1517</v>
      </c>
      <c r="D178" s="88">
        <v>9.7233429999999996E-2</v>
      </c>
      <c r="E178" s="88">
        <v>9.7233429999999996E-2</v>
      </c>
      <c r="F178" s="64"/>
      <c r="G178" s="77"/>
      <c r="H178" s="194"/>
    </row>
    <row r="179" spans="2:8" x14ac:dyDescent="0.2">
      <c r="B179" s="204"/>
      <c r="C179" s="205"/>
      <c r="D179" s="64"/>
      <c r="E179" s="64"/>
      <c r="F179" s="64"/>
      <c r="G179" s="77"/>
      <c r="H179" s="194"/>
    </row>
    <row r="180" spans="2:8" x14ac:dyDescent="0.2">
      <c r="B180" s="149" t="s">
        <v>1658</v>
      </c>
      <c r="C180" s="154"/>
      <c r="D180" s="154"/>
      <c r="E180" s="154"/>
      <c r="F180" s="75"/>
      <c r="G180" s="77"/>
      <c r="H180" s="194"/>
    </row>
    <row r="181" spans="2:8" x14ac:dyDescent="0.2">
      <c r="B181" s="149"/>
      <c r="C181" s="154"/>
      <c r="D181" s="154"/>
      <c r="E181" s="154"/>
      <c r="F181" s="75"/>
      <c r="G181" s="77"/>
      <c r="H181" s="194"/>
    </row>
    <row r="182" spans="2:8" x14ac:dyDescent="0.2">
      <c r="B182" s="149" t="s">
        <v>1677</v>
      </c>
      <c r="C182" s="154"/>
      <c r="D182" s="206"/>
      <c r="E182" s="154"/>
      <c r="F182" s="75"/>
      <c r="G182" s="77"/>
      <c r="H182" s="194"/>
    </row>
    <row r="183" spans="2:8" x14ac:dyDescent="0.2">
      <c r="B183" s="82" t="s">
        <v>1435</v>
      </c>
      <c r="C183" s="154"/>
      <c r="D183" s="154"/>
      <c r="E183" s="154"/>
      <c r="F183" s="75"/>
      <c r="G183" s="77"/>
      <c r="H183" s="194"/>
    </row>
    <row r="184" spans="2:8" x14ac:dyDescent="0.2">
      <c r="B184" s="82"/>
      <c r="C184" s="154"/>
      <c r="D184" s="154"/>
      <c r="E184" s="154"/>
      <c r="F184" s="75"/>
      <c r="G184" s="77"/>
      <c r="H184" s="194"/>
    </row>
    <row r="185" spans="2:8" x14ac:dyDescent="0.2">
      <c r="B185" s="149" t="s">
        <v>1660</v>
      </c>
      <c r="C185" s="154"/>
      <c r="D185" s="154"/>
      <c r="E185" s="154"/>
      <c r="F185" s="75"/>
      <c r="G185" s="77"/>
      <c r="H185" s="194"/>
    </row>
    <row r="186" spans="2:8" x14ac:dyDescent="0.2">
      <c r="B186" s="149"/>
      <c r="C186" s="154"/>
      <c r="D186" s="154"/>
      <c r="E186" s="154"/>
      <c r="F186" s="75"/>
      <c r="G186" s="77"/>
      <c r="H186" s="194"/>
    </row>
    <row r="187" spans="2:8" x14ac:dyDescent="0.2">
      <c r="B187" s="149" t="s">
        <v>1661</v>
      </c>
      <c r="C187" s="154"/>
      <c r="D187" s="154"/>
      <c r="E187" s="154"/>
      <c r="F187" s="75"/>
      <c r="G187" s="77"/>
      <c r="H187" s="194"/>
    </row>
    <row r="188" spans="2:8" x14ac:dyDescent="0.2">
      <c r="B188" s="170"/>
      <c r="C188" s="154"/>
      <c r="D188" s="154"/>
      <c r="E188" s="154"/>
      <c r="F188" s="75"/>
      <c r="G188" s="77"/>
      <c r="H188" s="194"/>
    </row>
    <row r="189" spans="2:8" x14ac:dyDescent="0.2">
      <c r="B189" s="149" t="s">
        <v>1706</v>
      </c>
      <c r="C189" s="154"/>
      <c r="D189" s="154"/>
      <c r="E189" s="154"/>
      <c r="F189" s="75"/>
      <c r="G189" s="77"/>
      <c r="H189" s="194"/>
    </row>
    <row r="190" spans="2:8" x14ac:dyDescent="0.2">
      <c r="B190" s="149"/>
      <c r="C190" s="154"/>
      <c r="D190" s="154"/>
      <c r="E190" s="154"/>
      <c r="F190" s="75"/>
      <c r="G190" s="77"/>
      <c r="H190" s="194"/>
    </row>
    <row r="191" spans="2:8" x14ac:dyDescent="0.2">
      <c r="B191" s="149" t="s">
        <v>1678</v>
      </c>
      <c r="C191" s="154"/>
      <c r="D191" s="154"/>
      <c r="E191" s="154"/>
      <c r="F191" s="75"/>
      <c r="G191" s="77"/>
      <c r="H191" s="194"/>
    </row>
    <row r="192" spans="2:8" x14ac:dyDescent="0.2">
      <c r="B192" s="149"/>
      <c r="C192" s="154"/>
      <c r="D192" s="154"/>
      <c r="E192" s="154"/>
      <c r="F192" s="75"/>
      <c r="G192" s="77"/>
      <c r="H192" s="194"/>
    </row>
    <row r="193" spans="2:8" x14ac:dyDescent="0.2">
      <c r="B193" s="149" t="s">
        <v>1521</v>
      </c>
      <c r="C193" s="154"/>
      <c r="D193" s="154"/>
      <c r="E193" s="154"/>
      <c r="F193" s="75"/>
      <c r="G193" s="77"/>
      <c r="H193" s="194"/>
    </row>
    <row r="194" spans="2:8" x14ac:dyDescent="0.2">
      <c r="B194" s="171" t="s">
        <v>1522</v>
      </c>
      <c r="C194" s="90">
        <v>0.15</v>
      </c>
      <c r="D194" s="154"/>
      <c r="F194" s="207"/>
      <c r="G194" s="77"/>
      <c r="H194" s="194"/>
    </row>
    <row r="195" spans="2:8" x14ac:dyDescent="0.2">
      <c r="B195" s="171" t="s">
        <v>1523</v>
      </c>
      <c r="C195" s="90">
        <v>61.119999999999905</v>
      </c>
      <c r="D195" s="154"/>
      <c r="F195" s="65"/>
      <c r="G195" s="77"/>
      <c r="H195" s="194"/>
    </row>
    <row r="196" spans="2:8" x14ac:dyDescent="0.2">
      <c r="B196" s="171" t="s">
        <v>1524</v>
      </c>
      <c r="C196" s="90">
        <v>1.44</v>
      </c>
      <c r="D196" s="154"/>
      <c r="F196" s="65"/>
      <c r="G196" s="77"/>
      <c r="H196" s="194"/>
    </row>
    <row r="197" spans="2:8" x14ac:dyDescent="0.2">
      <c r="B197" s="171" t="s">
        <v>1574</v>
      </c>
      <c r="C197" s="90">
        <v>20.849999999999998</v>
      </c>
      <c r="D197" s="154"/>
      <c r="F197" s="208"/>
      <c r="G197" s="77"/>
      <c r="H197" s="194"/>
    </row>
    <row r="198" spans="2:8" x14ac:dyDescent="0.2">
      <c r="B198" s="171" t="s">
        <v>1525</v>
      </c>
      <c r="C198" s="209">
        <v>11.360000000000099</v>
      </c>
      <c r="D198" s="154"/>
      <c r="F198" s="208"/>
      <c r="G198" s="77"/>
      <c r="H198" s="194"/>
    </row>
    <row r="199" spans="2:8" x14ac:dyDescent="0.2">
      <c r="B199" s="171" t="s">
        <v>1526</v>
      </c>
      <c r="C199" s="209">
        <v>5.0799999999999983</v>
      </c>
      <c r="D199" s="154"/>
      <c r="F199" s="208"/>
      <c r="G199" s="77"/>
      <c r="H199" s="194"/>
    </row>
    <row r="200" spans="2:8" x14ac:dyDescent="0.2">
      <c r="B200" s="149"/>
      <c r="C200" s="154"/>
      <c r="D200" s="154"/>
      <c r="E200" s="154"/>
      <c r="F200" s="75"/>
      <c r="G200" s="77"/>
      <c r="H200" s="194"/>
    </row>
    <row r="201" spans="2:8" x14ac:dyDescent="0.2">
      <c r="B201" s="149" t="s">
        <v>1527</v>
      </c>
      <c r="C201" s="154"/>
      <c r="D201" s="154"/>
      <c r="E201" s="154"/>
      <c r="F201" s="75"/>
      <c r="G201" s="77"/>
      <c r="H201" s="194"/>
    </row>
    <row r="202" spans="2:8" x14ac:dyDescent="0.2">
      <c r="B202" s="171" t="s">
        <v>1528</v>
      </c>
      <c r="C202" s="210">
        <v>61.269999999999904</v>
      </c>
      <c r="D202" s="176"/>
      <c r="F202" s="208"/>
      <c r="G202" s="77"/>
      <c r="H202" s="194"/>
    </row>
    <row r="203" spans="2:8" x14ac:dyDescent="0.2">
      <c r="B203" s="171" t="s">
        <v>1529</v>
      </c>
      <c r="C203" s="210">
        <v>11.360000000000099</v>
      </c>
      <c r="D203" s="176"/>
      <c r="F203" s="208"/>
      <c r="G203" s="77"/>
      <c r="H203" s="194"/>
    </row>
    <row r="204" spans="2:8" x14ac:dyDescent="0.2">
      <c r="B204" s="171" t="s">
        <v>1575</v>
      </c>
      <c r="C204" s="210">
        <v>20.849999999999998</v>
      </c>
      <c r="D204" s="176"/>
      <c r="F204" s="208"/>
      <c r="G204" s="77"/>
      <c r="H204" s="194"/>
    </row>
    <row r="205" spans="2:8" x14ac:dyDescent="0.2">
      <c r="B205" s="171" t="s">
        <v>1530</v>
      </c>
      <c r="C205" s="211">
        <v>1.44</v>
      </c>
      <c r="D205" s="176"/>
      <c r="F205" s="208"/>
      <c r="G205" s="77"/>
      <c r="H205" s="194"/>
    </row>
    <row r="206" spans="2:8" x14ac:dyDescent="0.2">
      <c r="B206" s="171" t="s">
        <v>1531</v>
      </c>
      <c r="C206" s="210">
        <v>5.0799999999999983</v>
      </c>
      <c r="D206" s="176"/>
      <c r="F206" s="208"/>
      <c r="G206" s="77"/>
      <c r="H206" s="194"/>
    </row>
    <row r="207" spans="2:8" x14ac:dyDescent="0.2">
      <c r="B207" s="149"/>
      <c r="C207" s="176"/>
      <c r="D207" s="176"/>
      <c r="E207" s="176"/>
      <c r="F207" s="212"/>
      <c r="G207" s="77"/>
      <c r="H207" s="194"/>
    </row>
    <row r="208" spans="2:8" x14ac:dyDescent="0.2">
      <c r="B208" s="149" t="s">
        <v>1532</v>
      </c>
      <c r="C208" s="176"/>
      <c r="D208" s="176"/>
      <c r="E208" s="176"/>
      <c r="F208" s="185"/>
      <c r="G208" s="77"/>
      <c r="H208" s="194"/>
    </row>
    <row r="209" spans="2:8" x14ac:dyDescent="0.2">
      <c r="B209" s="213"/>
      <c r="C209" s="77"/>
      <c r="D209" s="77"/>
      <c r="E209" s="77"/>
      <c r="F209" s="77"/>
      <c r="G209" s="77"/>
      <c r="H209" s="194"/>
    </row>
    <row r="210" spans="2:8" x14ac:dyDescent="0.2">
      <c r="B210" s="149" t="s">
        <v>1576</v>
      </c>
      <c r="C210" s="176"/>
      <c r="D210" s="176"/>
      <c r="E210" s="176"/>
      <c r="F210" s="185"/>
      <c r="G210" s="65"/>
      <c r="H210" s="105"/>
    </row>
    <row r="211" spans="2:8" x14ac:dyDescent="0.2">
      <c r="B211" s="149"/>
      <c r="C211" s="176"/>
      <c r="D211" s="176"/>
      <c r="E211" s="176"/>
      <c r="F211" s="185"/>
      <c r="G211" s="65"/>
      <c r="H211" s="105"/>
    </row>
    <row r="212" spans="2:8" x14ac:dyDescent="0.2">
      <c r="B212" s="214" t="s">
        <v>1680</v>
      </c>
      <c r="C212" s="86"/>
      <c r="D212" s="86"/>
      <c r="E212" s="86"/>
      <c r="F212" s="87"/>
      <c r="G212" s="65"/>
      <c r="H212" s="105"/>
    </row>
    <row r="213" spans="2:8" ht="48" x14ac:dyDescent="0.2">
      <c r="B213" s="215" t="s">
        <v>1437</v>
      </c>
      <c r="C213" s="215" t="s">
        <v>1438</v>
      </c>
      <c r="D213" s="215" t="s">
        <v>1439</v>
      </c>
      <c r="E213" s="215" t="s">
        <v>1440</v>
      </c>
      <c r="F213" s="215" t="s">
        <v>1441</v>
      </c>
      <c r="G213" s="215" t="s">
        <v>1577</v>
      </c>
      <c r="H213" s="105"/>
    </row>
    <row r="214" spans="2:8" x14ac:dyDescent="0.2">
      <c r="B214" s="216" t="s">
        <v>50</v>
      </c>
      <c r="C214" s="89" t="s">
        <v>1444</v>
      </c>
      <c r="D214" s="217" t="s">
        <v>1443</v>
      </c>
      <c r="E214" s="91">
        <v>1822.5</v>
      </c>
      <c r="F214" s="91">
        <v>1790.5</v>
      </c>
      <c r="G214" s="489">
        <v>488.029</v>
      </c>
      <c r="H214" s="105"/>
    </row>
    <row r="215" spans="2:8" x14ac:dyDescent="0.2">
      <c r="B215" s="216" t="s">
        <v>1165</v>
      </c>
      <c r="C215" s="89" t="s">
        <v>1444</v>
      </c>
      <c r="D215" s="217" t="s">
        <v>1443</v>
      </c>
      <c r="E215" s="91">
        <v>416.47671627906976</v>
      </c>
      <c r="F215" s="91">
        <v>402.5</v>
      </c>
      <c r="G215" s="489"/>
      <c r="H215" s="105"/>
    </row>
    <row r="216" spans="2:8" x14ac:dyDescent="0.2">
      <c r="B216" s="216" t="s">
        <v>1578</v>
      </c>
      <c r="C216" s="89" t="s">
        <v>1444</v>
      </c>
      <c r="D216" s="217" t="s">
        <v>1443</v>
      </c>
      <c r="E216" s="91">
        <v>1130.3279856677525</v>
      </c>
      <c r="F216" s="91">
        <v>1118.5</v>
      </c>
      <c r="G216" s="489"/>
      <c r="H216" s="105"/>
    </row>
    <row r="217" spans="2:8" x14ac:dyDescent="0.2">
      <c r="B217" s="82" t="s">
        <v>1679</v>
      </c>
      <c r="C217" s="75"/>
      <c r="D217" s="75"/>
      <c r="E217" s="97"/>
      <c r="F217" s="97"/>
      <c r="G217" s="94"/>
      <c r="H217" s="105"/>
    </row>
    <row r="218" spans="2:8" x14ac:dyDescent="0.2">
      <c r="B218" s="82"/>
      <c r="C218" s="75"/>
      <c r="D218" s="75"/>
      <c r="E218" s="97"/>
      <c r="F218" s="97"/>
      <c r="G218" s="94"/>
      <c r="H218" s="105"/>
    </row>
    <row r="219" spans="2:8" x14ac:dyDescent="0.2">
      <c r="B219" s="68" t="s">
        <v>1640</v>
      </c>
      <c r="C219" s="92"/>
      <c r="D219" s="218"/>
      <c r="E219" s="64"/>
      <c r="F219" s="64"/>
      <c r="G219" s="64"/>
      <c r="H219" s="219"/>
    </row>
    <row r="220" spans="2:8" x14ac:dyDescent="0.2">
      <c r="B220" s="68"/>
      <c r="C220" s="64"/>
      <c r="D220" s="218"/>
      <c r="F220" s="64"/>
      <c r="G220" s="64"/>
      <c r="H220" s="219"/>
    </row>
    <row r="221" spans="2:8" x14ac:dyDescent="0.2">
      <c r="B221" s="88" t="s">
        <v>1445</v>
      </c>
      <c r="C221" s="88"/>
      <c r="D221" s="64"/>
      <c r="F221" s="64"/>
      <c r="G221" s="77"/>
      <c r="H221" s="219"/>
    </row>
    <row r="222" spans="2:8" x14ac:dyDescent="0.2">
      <c r="B222" s="88" t="s">
        <v>1446</v>
      </c>
      <c r="C222" s="93">
        <v>1674</v>
      </c>
      <c r="D222" s="64"/>
      <c r="F222" s="94"/>
      <c r="G222" s="94"/>
      <c r="H222" s="219"/>
    </row>
    <row r="223" spans="2:8" x14ac:dyDescent="0.2">
      <c r="B223" s="88" t="s">
        <v>1447</v>
      </c>
      <c r="C223" s="93">
        <v>1674</v>
      </c>
      <c r="D223" s="64"/>
      <c r="F223" s="94"/>
      <c r="G223" s="94"/>
      <c r="H223" s="219"/>
    </row>
    <row r="224" spans="2:8" x14ac:dyDescent="0.2">
      <c r="B224" s="88" t="s">
        <v>1448</v>
      </c>
      <c r="C224" s="93">
        <v>0</v>
      </c>
      <c r="D224" s="64"/>
      <c r="F224" s="94"/>
      <c r="G224" s="94"/>
      <c r="H224" s="219"/>
    </row>
    <row r="225" spans="2:8" x14ac:dyDescent="0.2">
      <c r="B225" s="88" t="s">
        <v>1449</v>
      </c>
      <c r="C225" s="93">
        <v>0</v>
      </c>
      <c r="D225" s="64"/>
      <c r="F225" s="94"/>
      <c r="G225" s="94"/>
      <c r="H225" s="219"/>
    </row>
    <row r="226" spans="2:8" x14ac:dyDescent="0.2">
      <c r="B226" s="88" t="s">
        <v>1450</v>
      </c>
      <c r="C226" s="93">
        <v>230674645.58999997</v>
      </c>
      <c r="D226" s="64"/>
      <c r="F226" s="94"/>
      <c r="G226" s="94"/>
      <c r="H226" s="219"/>
    </row>
    <row r="227" spans="2:8" x14ac:dyDescent="0.2">
      <c r="B227" s="88" t="s">
        <v>1451</v>
      </c>
      <c r="C227" s="93">
        <v>273542219.87</v>
      </c>
      <c r="D227" s="64"/>
      <c r="F227" s="94"/>
      <c r="G227" s="94"/>
      <c r="H227" s="219"/>
    </row>
    <row r="228" spans="2:8" x14ac:dyDescent="0.2">
      <c r="B228" s="88" t="s">
        <v>1452</v>
      </c>
      <c r="C228" s="93">
        <v>0</v>
      </c>
      <c r="D228" s="64"/>
      <c r="F228" s="94"/>
      <c r="G228" s="95"/>
      <c r="H228" s="219"/>
    </row>
    <row r="229" spans="2:8" x14ac:dyDescent="0.2">
      <c r="B229" s="88" t="s">
        <v>1453</v>
      </c>
      <c r="C229" s="93">
        <v>42867574.280000031</v>
      </c>
      <c r="D229" s="64"/>
      <c r="F229" s="94"/>
      <c r="G229" s="96"/>
      <c r="H229" s="219"/>
    </row>
    <row r="230" spans="2:8" x14ac:dyDescent="0.2">
      <c r="B230" s="63"/>
      <c r="C230" s="64"/>
      <c r="D230" s="64"/>
      <c r="E230" s="67"/>
      <c r="F230" s="94"/>
      <c r="G230" s="96"/>
      <c r="H230" s="219"/>
    </row>
    <row r="231" spans="2:8" x14ac:dyDescent="0.2">
      <c r="B231" s="98" t="s">
        <v>1454</v>
      </c>
      <c r="C231" s="99"/>
      <c r="D231" s="99"/>
      <c r="E231" s="97"/>
      <c r="F231" s="94"/>
      <c r="G231" s="94"/>
      <c r="H231" s="219"/>
    </row>
    <row r="232" spans="2:8" x14ac:dyDescent="0.2">
      <c r="B232" s="82"/>
      <c r="C232" s="75"/>
      <c r="D232" s="75"/>
      <c r="E232" s="97"/>
      <c r="F232" s="97"/>
      <c r="G232" s="94"/>
      <c r="H232" s="105"/>
    </row>
    <row r="233" spans="2:8" x14ac:dyDescent="0.2">
      <c r="B233" s="220" t="s">
        <v>1681</v>
      </c>
      <c r="C233" s="221"/>
      <c r="D233" s="221"/>
      <c r="E233" s="75"/>
      <c r="F233" s="75"/>
      <c r="G233" s="75"/>
      <c r="H233" s="105"/>
    </row>
    <row r="234" spans="2:8" x14ac:dyDescent="0.2">
      <c r="B234" s="82"/>
      <c r="C234" s="222"/>
      <c r="D234" s="86"/>
      <c r="E234" s="65"/>
      <c r="F234" s="65"/>
      <c r="G234" s="223"/>
      <c r="H234" s="105"/>
    </row>
    <row r="235" spans="2:8" x14ac:dyDescent="0.2">
      <c r="B235" s="220" t="s">
        <v>1682</v>
      </c>
      <c r="C235" s="221"/>
      <c r="D235" s="221"/>
      <c r="E235" s="75"/>
      <c r="F235" s="224"/>
      <c r="G235" s="225"/>
      <c r="H235" s="105"/>
    </row>
    <row r="236" spans="2:8" x14ac:dyDescent="0.2">
      <c r="B236" s="98"/>
      <c r="C236" s="99"/>
      <c r="D236" s="99"/>
      <c r="E236" s="75"/>
      <c r="F236" s="75"/>
      <c r="G236" s="75"/>
      <c r="H236" s="105"/>
    </row>
    <row r="237" spans="2:8" x14ac:dyDescent="0.2">
      <c r="B237" s="220" t="s">
        <v>1683</v>
      </c>
      <c r="C237" s="221"/>
      <c r="D237" s="221"/>
      <c r="E237" s="75"/>
      <c r="F237" s="224"/>
      <c r="G237" s="75"/>
      <c r="H237" s="105"/>
    </row>
    <row r="238" spans="2:8" x14ac:dyDescent="0.2">
      <c r="B238" s="220"/>
      <c r="C238" s="221"/>
      <c r="D238" s="221"/>
      <c r="E238" s="75"/>
      <c r="F238" s="224"/>
      <c r="G238" s="75"/>
      <c r="H238" s="105"/>
    </row>
    <row r="239" spans="2:8" x14ac:dyDescent="0.2">
      <c r="B239" s="490" t="s">
        <v>1579</v>
      </c>
      <c r="C239" s="491"/>
      <c r="D239" s="491"/>
      <c r="E239" s="491"/>
      <c r="F239" s="491"/>
      <c r="G239" s="75"/>
      <c r="H239" s="105"/>
    </row>
    <row r="240" spans="2:8" x14ac:dyDescent="0.2">
      <c r="B240" s="226"/>
      <c r="C240" s="227"/>
      <c r="D240" s="227"/>
      <c r="E240" s="227"/>
      <c r="F240" s="227"/>
      <c r="G240" s="75"/>
      <c r="H240" s="105"/>
    </row>
    <row r="241" spans="2:10" x14ac:dyDescent="0.2">
      <c r="B241" s="220" t="s">
        <v>1685</v>
      </c>
      <c r="C241" s="221"/>
      <c r="D241" s="221"/>
      <c r="E241" s="75"/>
      <c r="F241" s="75"/>
      <c r="G241" s="75"/>
      <c r="H241" s="105"/>
    </row>
    <row r="242" spans="2:10" x14ac:dyDescent="0.2">
      <c r="B242" s="88" t="s">
        <v>1456</v>
      </c>
      <c r="C242" s="93">
        <v>620</v>
      </c>
      <c r="D242" s="64"/>
      <c r="F242" s="94"/>
      <c r="G242" s="96"/>
      <c r="H242" s="219"/>
    </row>
    <row r="243" spans="2:10" x14ac:dyDescent="0.2">
      <c r="B243" s="88" t="s">
        <v>1457</v>
      </c>
      <c r="C243" s="93">
        <v>385761500</v>
      </c>
      <c r="D243" s="64"/>
      <c r="F243" s="94"/>
      <c r="G243" s="96"/>
      <c r="H243" s="219"/>
    </row>
    <row r="244" spans="2:10" x14ac:dyDescent="0.2">
      <c r="B244" s="88" t="s">
        <v>1458</v>
      </c>
      <c r="C244" s="93">
        <v>1387089.45</v>
      </c>
      <c r="D244" s="64"/>
      <c r="F244" s="94"/>
      <c r="G244" s="96"/>
      <c r="H244" s="219"/>
    </row>
    <row r="245" spans="2:10" x14ac:dyDescent="0.2">
      <c r="B245" s="141"/>
      <c r="C245" s="75"/>
      <c r="D245" s="75"/>
      <c r="E245" s="75"/>
      <c r="F245" s="75"/>
      <c r="G245" s="75"/>
      <c r="H245" s="105"/>
    </row>
    <row r="246" spans="2:10" x14ac:dyDescent="0.2">
      <c r="B246" s="220" t="s">
        <v>1684</v>
      </c>
      <c r="C246" s="75"/>
      <c r="D246" s="75"/>
      <c r="E246" s="75"/>
      <c r="F246" s="75"/>
      <c r="G246" s="75"/>
      <c r="H246" s="105"/>
    </row>
    <row r="247" spans="2:10" x14ac:dyDescent="0.2">
      <c r="B247" s="228"/>
      <c r="C247" s="106"/>
      <c r="D247" s="106"/>
      <c r="E247" s="106"/>
      <c r="F247" s="106"/>
      <c r="G247" s="106"/>
      <c r="H247" s="229"/>
    </row>
    <row r="249" spans="2:10" x14ac:dyDescent="0.2">
      <c r="B249" s="492" t="s">
        <v>1580</v>
      </c>
      <c r="C249" s="492"/>
      <c r="D249" s="492"/>
      <c r="E249" s="492"/>
      <c r="F249" s="492"/>
      <c r="G249" s="492"/>
      <c r="H249" s="492"/>
      <c r="I249" s="492"/>
      <c r="J249" s="88"/>
    </row>
    <row r="250" spans="2:10" ht="12" customHeight="1" x14ac:dyDescent="0.2">
      <c r="B250" s="479" t="s">
        <v>1459</v>
      </c>
      <c r="C250" s="480" t="s">
        <v>1460</v>
      </c>
      <c r="D250" s="480"/>
      <c r="E250" s="107" t="s">
        <v>1461</v>
      </c>
      <c r="F250" s="107" t="s">
        <v>1462</v>
      </c>
      <c r="G250" s="480" t="s">
        <v>1463</v>
      </c>
      <c r="H250" s="480"/>
      <c r="I250" s="480"/>
      <c r="J250" s="480"/>
    </row>
    <row r="251" spans="2:10" ht="48" x14ac:dyDescent="0.2">
      <c r="B251" s="479"/>
      <c r="C251" s="108" t="s">
        <v>1581</v>
      </c>
      <c r="D251" s="108" t="s">
        <v>1582</v>
      </c>
      <c r="E251" s="108" t="s">
        <v>1583</v>
      </c>
      <c r="F251" s="108" t="s">
        <v>1584</v>
      </c>
      <c r="G251" s="108" t="s">
        <v>1581</v>
      </c>
      <c r="H251" s="108" t="s">
        <v>1582</v>
      </c>
      <c r="I251" s="108" t="s">
        <v>1583</v>
      </c>
      <c r="J251" s="108" t="s">
        <v>1584</v>
      </c>
    </row>
    <row r="252" spans="2:10" x14ac:dyDescent="0.2">
      <c r="B252" s="165" t="s">
        <v>1585</v>
      </c>
      <c r="C252" s="110">
        <v>9.2291613159944719E-2</v>
      </c>
      <c r="D252" s="110">
        <v>9.5559714772126103E-2</v>
      </c>
      <c r="E252" s="110">
        <v>6.4395512091273588E-2</v>
      </c>
      <c r="F252" s="110">
        <v>4.6258002622877159E-2</v>
      </c>
      <c r="G252" s="230">
        <v>15343.199999999999</v>
      </c>
      <c r="H252" s="230">
        <v>15567.1</v>
      </c>
      <c r="I252" s="230">
        <v>13534.155273281032</v>
      </c>
      <c r="J252" s="230">
        <v>12451.873330752618</v>
      </c>
    </row>
    <row r="253" spans="2:10" x14ac:dyDescent="0.2">
      <c r="B253" s="112" t="s">
        <v>1686</v>
      </c>
      <c r="C253" s="110">
        <v>5.1501881206439393E-2</v>
      </c>
      <c r="D253" s="110">
        <v>5.464584533044281E-2</v>
      </c>
      <c r="E253" s="110">
        <v>2.6625687058686731E-2</v>
      </c>
      <c r="F253" s="110">
        <v>2.1068329826270826E-2</v>
      </c>
      <c r="G253" s="230">
        <v>10515.018812064394</v>
      </c>
      <c r="H253" s="230">
        <v>10546.458453304429</v>
      </c>
      <c r="I253" s="230">
        <v>10266.256870586867</v>
      </c>
      <c r="J253" s="230">
        <v>10210.683298262707</v>
      </c>
    </row>
    <row r="254" spans="2:10" x14ac:dyDescent="0.2">
      <c r="B254" s="112" t="s">
        <v>1669</v>
      </c>
      <c r="C254" s="110">
        <v>0.10542394461685478</v>
      </c>
      <c r="D254" s="110">
        <v>0.10872221669954008</v>
      </c>
      <c r="E254" s="110">
        <v>7.7990212248455704E-2</v>
      </c>
      <c r="F254" s="110">
        <v>6.7893510573977744E-2</v>
      </c>
      <c r="G254" s="230">
        <v>13511.571383282255</v>
      </c>
      <c r="H254" s="230">
        <v>13632.987993379282</v>
      </c>
      <c r="I254" s="230">
        <v>12529.501964999752</v>
      </c>
      <c r="J254" s="230">
        <v>12180.412628931655</v>
      </c>
    </row>
    <row r="255" spans="2:10" x14ac:dyDescent="0.2">
      <c r="B255" s="116"/>
      <c r="C255" s="116"/>
      <c r="D255" s="276"/>
      <c r="E255" s="116"/>
      <c r="F255" s="116"/>
      <c r="G255" s="116"/>
      <c r="H255" s="116"/>
      <c r="I255" s="116"/>
      <c r="J255" s="116"/>
    </row>
    <row r="256" spans="2:10" x14ac:dyDescent="0.2">
      <c r="B256" s="116"/>
      <c r="C256" s="116"/>
      <c r="D256" s="116"/>
      <c r="E256" s="116"/>
      <c r="F256" s="116"/>
      <c r="G256" s="116"/>
      <c r="H256" s="116"/>
      <c r="I256" s="116"/>
      <c r="J256" s="116"/>
    </row>
    <row r="257" spans="2:10" ht="12" customHeight="1" x14ac:dyDescent="0.2">
      <c r="B257" s="478" t="s">
        <v>1586</v>
      </c>
      <c r="C257" s="478"/>
      <c r="D257" s="478"/>
      <c r="E257" s="478"/>
      <c r="F257" s="478"/>
      <c r="G257" s="116"/>
      <c r="H257" s="116"/>
      <c r="I257" s="116"/>
      <c r="J257" s="116"/>
    </row>
    <row r="258" spans="2:10" ht="48" x14ac:dyDescent="0.2">
      <c r="B258" s="117"/>
      <c r="C258" s="118" t="s">
        <v>1585</v>
      </c>
      <c r="D258" s="108" t="s">
        <v>1686</v>
      </c>
      <c r="E258" s="108" t="s">
        <v>1669</v>
      </c>
      <c r="F258" s="108" t="s">
        <v>1670</v>
      </c>
      <c r="G258" s="116"/>
      <c r="H258" s="116"/>
      <c r="I258" s="116"/>
      <c r="J258" s="116"/>
    </row>
    <row r="259" spans="2:10" x14ac:dyDescent="0.2">
      <c r="B259" s="109" t="s">
        <v>1470</v>
      </c>
      <c r="C259" s="231">
        <v>590000</v>
      </c>
      <c r="D259" s="231">
        <v>120000</v>
      </c>
      <c r="E259" s="231">
        <v>360000</v>
      </c>
      <c r="F259" s="231" t="s">
        <v>1587</v>
      </c>
      <c r="G259" s="116"/>
      <c r="H259" s="116"/>
      <c r="I259" s="116"/>
      <c r="J259" s="116"/>
    </row>
    <row r="260" spans="2:10" x14ac:dyDescent="0.2">
      <c r="B260" s="109" t="s">
        <v>1471</v>
      </c>
      <c r="C260" s="232">
        <v>736364.700889008</v>
      </c>
      <c r="D260" s="232">
        <v>121276.71093011599</v>
      </c>
      <c r="E260" s="232">
        <v>403857.85849434399</v>
      </c>
      <c r="F260" s="231" t="s">
        <v>1587</v>
      </c>
      <c r="G260" s="116"/>
      <c r="H260" s="116"/>
      <c r="I260" s="116"/>
      <c r="J260" s="116"/>
    </row>
    <row r="261" spans="2:10" x14ac:dyDescent="0.2">
      <c r="B261" s="109" t="s">
        <v>1472</v>
      </c>
      <c r="C261" s="233">
        <v>8.9656344990958807</v>
      </c>
      <c r="D261" s="233">
        <v>1.99072018087541</v>
      </c>
      <c r="E261" s="233">
        <v>7.6268716640520697</v>
      </c>
      <c r="F261" s="231" t="s">
        <v>1587</v>
      </c>
      <c r="G261" s="116"/>
      <c r="H261" s="116"/>
      <c r="I261" s="116"/>
      <c r="J261" s="276"/>
    </row>
    <row r="262" spans="2:10" ht="24" x14ac:dyDescent="0.2">
      <c r="B262" s="109" t="s">
        <v>1588</v>
      </c>
      <c r="C262" s="233">
        <v>6.2674402858624401</v>
      </c>
      <c r="D262" s="233">
        <v>-1.6980763969150201</v>
      </c>
      <c r="E262" s="233">
        <v>5.1450082590769401</v>
      </c>
      <c r="F262" s="231" t="s">
        <v>1587</v>
      </c>
      <c r="G262" s="116"/>
      <c r="H262" s="116"/>
      <c r="I262" s="116"/>
      <c r="J262" s="276"/>
    </row>
    <row r="263" spans="2:10" x14ac:dyDescent="0.2">
      <c r="B263" s="109" t="s">
        <v>1589</v>
      </c>
      <c r="C263" s="233">
        <v>5.6213212565210204</v>
      </c>
      <c r="D263" s="233">
        <v>-1.3037522074252099</v>
      </c>
      <c r="E263" s="233">
        <v>5.1304394691897102</v>
      </c>
      <c r="F263" s="231" t="s">
        <v>1587</v>
      </c>
      <c r="G263" s="116"/>
      <c r="H263" s="116"/>
      <c r="I263" s="116"/>
      <c r="J263" s="276"/>
    </row>
    <row r="264" spans="2:10" x14ac:dyDescent="0.2">
      <c r="B264" s="116"/>
      <c r="C264" s="116"/>
      <c r="D264" s="116"/>
      <c r="E264" s="116"/>
      <c r="F264" s="116"/>
      <c r="G264" s="116"/>
      <c r="H264" s="116"/>
      <c r="I264" s="116"/>
      <c r="J264" s="116"/>
    </row>
    <row r="265" spans="2:10" ht="12" customHeight="1" x14ac:dyDescent="0.2">
      <c r="B265" s="478" t="s">
        <v>1590</v>
      </c>
      <c r="C265" s="478"/>
      <c r="D265" s="478"/>
      <c r="E265" s="478"/>
      <c r="F265" s="478"/>
      <c r="G265" s="116"/>
      <c r="H265" s="116"/>
      <c r="I265" s="116"/>
      <c r="J265" s="116"/>
    </row>
    <row r="266" spans="2:10" ht="48" x14ac:dyDescent="0.2">
      <c r="B266" s="117"/>
      <c r="C266" s="118" t="s">
        <v>1585</v>
      </c>
      <c r="D266" s="108" t="s">
        <v>1686</v>
      </c>
      <c r="E266" s="108" t="s">
        <v>1669</v>
      </c>
      <c r="F266" s="108" t="s">
        <v>1670</v>
      </c>
      <c r="G266" s="116"/>
      <c r="H266" s="116"/>
      <c r="I266" s="116"/>
      <c r="J266" s="116"/>
    </row>
    <row r="267" spans="2:10" x14ac:dyDescent="0.2">
      <c r="B267" s="109" t="s">
        <v>1470</v>
      </c>
      <c r="C267" s="231">
        <v>590000</v>
      </c>
      <c r="D267" s="231">
        <v>120000</v>
      </c>
      <c r="E267" s="231">
        <v>360000</v>
      </c>
      <c r="F267" s="231" t="s">
        <v>1587</v>
      </c>
      <c r="G267" s="116"/>
      <c r="H267" s="116"/>
      <c r="I267" s="116"/>
      <c r="J267" s="116"/>
    </row>
    <row r="268" spans="2:10" x14ac:dyDescent="0.2">
      <c r="B268" s="109" t="s">
        <v>1471</v>
      </c>
      <c r="C268" s="232">
        <v>742326.39074792399</v>
      </c>
      <c r="D268" s="232">
        <v>121472.847543859</v>
      </c>
      <c r="E268" s="232">
        <v>405816.77141004399</v>
      </c>
      <c r="F268" s="231" t="s">
        <v>1587</v>
      </c>
      <c r="G268" s="116"/>
      <c r="H268" s="116"/>
      <c r="I268" s="116"/>
      <c r="J268" s="116"/>
    </row>
    <row r="269" spans="2:10" x14ac:dyDescent="0.2">
      <c r="B269" s="109" t="s">
        <v>1472</v>
      </c>
      <c r="C269" s="233">
        <v>9.2952226201434307</v>
      </c>
      <c r="D269" s="233">
        <v>2.2976158911969602</v>
      </c>
      <c r="E269" s="233">
        <v>7.9543307657367697</v>
      </c>
      <c r="F269" s="231" t="s">
        <v>1587</v>
      </c>
      <c r="G269" s="116"/>
      <c r="H269" s="116"/>
      <c r="I269" s="276"/>
      <c r="J269" s="276"/>
    </row>
    <row r="270" spans="2:10" ht="24" x14ac:dyDescent="0.2">
      <c r="B270" s="109" t="s">
        <v>1588</v>
      </c>
      <c r="C270" s="233">
        <v>6.2674402858624401</v>
      </c>
      <c r="D270" s="233">
        <v>-1.6980763969150201</v>
      </c>
      <c r="E270" s="233">
        <v>5.1450082590769401</v>
      </c>
      <c r="F270" s="231" t="s">
        <v>1587</v>
      </c>
      <c r="G270" s="116"/>
      <c r="H270" s="116"/>
      <c r="I270" s="276"/>
      <c r="J270" s="276"/>
    </row>
    <row r="271" spans="2:10" x14ac:dyDescent="0.2">
      <c r="B271" s="109" t="s">
        <v>1589</v>
      </c>
      <c r="C271" s="233">
        <v>5.6213212565210204</v>
      </c>
      <c r="D271" s="233">
        <v>-1.3037522074252099</v>
      </c>
      <c r="E271" s="233">
        <v>5.1304394691897102</v>
      </c>
      <c r="F271" s="231" t="s">
        <v>1587</v>
      </c>
      <c r="G271" s="116"/>
      <c r="H271" s="116"/>
      <c r="I271" s="276"/>
      <c r="J271" s="276"/>
    </row>
    <row r="272" spans="2:10" x14ac:dyDescent="0.2">
      <c r="B272" s="116"/>
      <c r="C272" s="116"/>
      <c r="D272" s="116"/>
      <c r="E272" s="116"/>
      <c r="F272" s="116"/>
      <c r="G272" s="116"/>
      <c r="H272" s="116"/>
      <c r="I272" s="116"/>
      <c r="J272" s="116"/>
    </row>
    <row r="273" spans="2:10" x14ac:dyDescent="0.2">
      <c r="B273" s="107" t="s">
        <v>1649</v>
      </c>
      <c r="C273" s="117"/>
      <c r="D273" s="116"/>
      <c r="E273" s="116"/>
      <c r="F273" s="116"/>
      <c r="G273" s="116"/>
      <c r="H273" s="116"/>
      <c r="I273" s="116"/>
      <c r="J273" s="116"/>
    </row>
    <row r="274" spans="2:10" x14ac:dyDescent="0.2">
      <c r="B274" s="88" t="s">
        <v>1591</v>
      </c>
      <c r="C274" s="234">
        <v>4.875872600213909</v>
      </c>
      <c r="D274" s="116"/>
      <c r="E274" s="116"/>
      <c r="F274" s="116"/>
      <c r="G274" s="116"/>
      <c r="H274" s="116"/>
      <c r="I274" s="116"/>
      <c r="J274" s="116"/>
    </row>
    <row r="275" spans="2:10" x14ac:dyDescent="0.2">
      <c r="B275" s="88" t="s">
        <v>1540</v>
      </c>
      <c r="C275" s="126">
        <v>3.8521304308115139</v>
      </c>
      <c r="D275" s="116"/>
      <c r="E275" s="116"/>
      <c r="F275" s="116"/>
      <c r="G275" s="116"/>
      <c r="H275" s="116"/>
      <c r="I275" s="116"/>
      <c r="J275" s="116"/>
    </row>
    <row r="276" spans="2:10" x14ac:dyDescent="0.2">
      <c r="B276" s="88" t="s">
        <v>1485</v>
      </c>
      <c r="C276" s="126">
        <v>4.0091778141281305</v>
      </c>
      <c r="D276" s="116"/>
      <c r="E276" s="116"/>
      <c r="F276" s="116"/>
      <c r="G276" s="116"/>
      <c r="H276" s="116"/>
      <c r="I276" s="116"/>
      <c r="J276" s="116"/>
    </row>
    <row r="277" spans="2:10" x14ac:dyDescent="0.2">
      <c r="B277" s="88" t="s">
        <v>1687</v>
      </c>
      <c r="C277" s="277">
        <v>7.4047390589754028E-2</v>
      </c>
      <c r="D277" s="116"/>
      <c r="E277" s="116"/>
      <c r="F277" s="116"/>
      <c r="G277" s="116"/>
      <c r="H277" s="116"/>
      <c r="I277" s="116"/>
      <c r="J277" s="116"/>
    </row>
    <row r="279" spans="2:10" x14ac:dyDescent="0.2">
      <c r="B279" s="116" t="s">
        <v>1543</v>
      </c>
      <c r="C279" s="185"/>
      <c r="D279" s="116"/>
      <c r="E279" s="116"/>
    </row>
    <row r="280" spans="2:10" x14ac:dyDescent="0.2">
      <c r="B280" s="116" t="s">
        <v>1592</v>
      </c>
      <c r="C280" s="185"/>
      <c r="D280" s="116"/>
      <c r="E280" s="116"/>
    </row>
    <row r="282" spans="2:10" x14ac:dyDescent="0.2">
      <c r="B282" s="127" t="s">
        <v>1486</v>
      </c>
    </row>
    <row r="283" spans="2:10" x14ac:dyDescent="0.2">
      <c r="B283" s="47" t="s">
        <v>1593</v>
      </c>
    </row>
    <row r="284" spans="2:10" x14ac:dyDescent="0.2">
      <c r="B284" s="47" t="s">
        <v>1594</v>
      </c>
    </row>
    <row r="285" spans="2:10" x14ac:dyDescent="0.2">
      <c r="B285" s="47" t="s">
        <v>1489</v>
      </c>
    </row>
    <row r="286" spans="2:10" x14ac:dyDescent="0.2">
      <c r="B286" s="127"/>
    </row>
    <row r="287" spans="2:10" x14ac:dyDescent="0.2">
      <c r="B287" s="127"/>
    </row>
    <row r="288" spans="2:10" x14ac:dyDescent="0.2">
      <c r="C288" s="127" t="s">
        <v>1595</v>
      </c>
      <c r="D288" s="127"/>
      <c r="E288" s="127"/>
    </row>
    <row r="289" spans="2:5" x14ac:dyDescent="0.2">
      <c r="B289" s="128"/>
      <c r="C289" s="493" t="s">
        <v>1597</v>
      </c>
      <c r="D289" s="494"/>
      <c r="E289" s="494"/>
    </row>
    <row r="298" spans="2:5" x14ac:dyDescent="0.2">
      <c r="B298" s="127"/>
    </row>
  </sheetData>
  <mergeCells count="11">
    <mergeCell ref="B257:F257"/>
    <mergeCell ref="B265:F265"/>
    <mergeCell ref="C289:E289"/>
    <mergeCell ref="B161:B162"/>
    <mergeCell ref="C161:C162"/>
    <mergeCell ref="G214:G216"/>
    <mergeCell ref="B239:F239"/>
    <mergeCell ref="B249:I249"/>
    <mergeCell ref="B250:B251"/>
    <mergeCell ref="C250:D250"/>
    <mergeCell ref="G250:J250"/>
  </mergeCell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369"/>
  <sheetViews>
    <sheetView topLeftCell="A183" workbookViewId="0">
      <selection activeCell="B209" sqref="B209"/>
    </sheetView>
  </sheetViews>
  <sheetFormatPr defaultRowHeight="12" x14ac:dyDescent="0.2"/>
  <cols>
    <col min="1" max="1" width="3.28515625" style="47" customWidth="1"/>
    <col min="2" max="2" width="44.85546875" style="47" customWidth="1"/>
    <col min="3" max="3" width="20.140625" style="47" customWidth="1"/>
    <col min="4" max="4" width="25.42578125" style="47" customWidth="1"/>
    <col min="5" max="5" width="16.7109375" style="47" customWidth="1"/>
    <col min="6" max="6" width="15.140625" style="47" customWidth="1"/>
    <col min="7" max="7" width="14.42578125" style="47" customWidth="1"/>
    <col min="8" max="8" width="12.28515625" style="47" customWidth="1"/>
    <col min="9" max="9" width="10.28515625" style="47" customWidth="1"/>
    <col min="10" max="16384" width="9.140625" style="47"/>
  </cols>
  <sheetData>
    <row r="1" spans="1:9" ht="15.95" customHeight="1" x14ac:dyDescent="0.2">
      <c r="A1" s="46"/>
      <c r="B1" s="22" t="s">
        <v>1186</v>
      </c>
      <c r="C1" s="46"/>
      <c r="D1" s="46"/>
      <c r="E1" s="46"/>
      <c r="F1" s="46"/>
      <c r="G1" s="46"/>
      <c r="H1" s="46"/>
      <c r="I1" s="46"/>
    </row>
    <row r="2" spans="1:9" ht="12.95" customHeight="1" x14ac:dyDescent="0.2">
      <c r="A2" s="46"/>
      <c r="B2" s="2"/>
      <c r="C2" s="46"/>
      <c r="D2" s="46"/>
      <c r="E2" s="46"/>
      <c r="F2" s="46"/>
      <c r="G2" s="46"/>
      <c r="H2" s="46"/>
      <c r="I2" s="46"/>
    </row>
    <row r="3" spans="1:9" ht="12.95" customHeight="1" x14ac:dyDescent="0.2">
      <c r="A3" s="3" t="s">
        <v>0</v>
      </c>
      <c r="B3" s="48" t="s">
        <v>1</v>
      </c>
      <c r="C3" s="46"/>
      <c r="D3" s="46"/>
      <c r="E3" s="46"/>
      <c r="F3" s="46"/>
      <c r="G3" s="46"/>
      <c r="H3" s="46"/>
      <c r="I3" s="46"/>
    </row>
    <row r="4" spans="1:9" ht="27.95" customHeight="1" x14ac:dyDescent="0.2">
      <c r="A4" s="46"/>
      <c r="B4" s="27" t="s">
        <v>2</v>
      </c>
      <c r="C4" s="28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30" t="s">
        <v>9</v>
      </c>
    </row>
    <row r="5" spans="1:9" ht="12.95" customHeight="1" x14ac:dyDescent="0.2">
      <c r="A5" s="46"/>
      <c r="B5" s="31" t="s">
        <v>10</v>
      </c>
      <c r="C5" s="4"/>
      <c r="D5" s="4"/>
      <c r="E5" s="4"/>
      <c r="F5" s="4"/>
      <c r="G5" s="4"/>
      <c r="H5" s="49"/>
      <c r="I5" s="50"/>
    </row>
    <row r="6" spans="1:9" ht="12.95" customHeight="1" x14ac:dyDescent="0.2">
      <c r="A6" s="46"/>
      <c r="B6" s="31" t="s">
        <v>11</v>
      </c>
      <c r="C6" s="4"/>
      <c r="D6" s="4"/>
      <c r="E6" s="4"/>
      <c r="F6" s="51"/>
      <c r="G6" s="49"/>
      <c r="H6" s="49"/>
      <c r="I6" s="50"/>
    </row>
    <row r="7" spans="1:9" ht="12.95" customHeight="1" x14ac:dyDescent="0.2">
      <c r="A7" s="5" t="s">
        <v>35</v>
      </c>
      <c r="B7" s="32" t="s">
        <v>36</v>
      </c>
      <c r="C7" s="4" t="s">
        <v>37</v>
      </c>
      <c r="D7" s="4" t="s">
        <v>15</v>
      </c>
      <c r="E7" s="6">
        <v>2404000</v>
      </c>
      <c r="F7" s="7">
        <v>8495.74</v>
      </c>
      <c r="G7" s="8">
        <v>4.1300000000000003E-2</v>
      </c>
      <c r="H7" s="9"/>
      <c r="I7" s="33"/>
    </row>
    <row r="8" spans="1:9" ht="12.95" customHeight="1" x14ac:dyDescent="0.2">
      <c r="A8" s="5" t="s">
        <v>644</v>
      </c>
      <c r="B8" s="32" t="s">
        <v>645</v>
      </c>
      <c r="C8" s="4" t="s">
        <v>646</v>
      </c>
      <c r="D8" s="4" t="s">
        <v>15</v>
      </c>
      <c r="E8" s="6">
        <v>247650</v>
      </c>
      <c r="F8" s="7">
        <v>717.57</v>
      </c>
      <c r="G8" s="8">
        <v>3.5000000000000001E-3</v>
      </c>
      <c r="H8" s="9"/>
      <c r="I8" s="33"/>
    </row>
    <row r="9" spans="1:9" ht="12.95" customHeight="1" x14ac:dyDescent="0.2">
      <c r="A9" s="5" t="s">
        <v>12</v>
      </c>
      <c r="B9" s="32" t="s">
        <v>13</v>
      </c>
      <c r="C9" s="4" t="s">
        <v>14</v>
      </c>
      <c r="D9" s="4" t="s">
        <v>15</v>
      </c>
      <c r="E9" s="6">
        <v>1875500</v>
      </c>
      <c r="F9" s="7">
        <v>13720.22</v>
      </c>
      <c r="G9" s="8">
        <v>6.6600000000000006E-2</v>
      </c>
      <c r="H9" s="9"/>
      <c r="I9" s="33"/>
    </row>
    <row r="10" spans="1:9" ht="12.95" customHeight="1" x14ac:dyDescent="0.2">
      <c r="A10" s="5" t="s">
        <v>24</v>
      </c>
      <c r="B10" s="32" t="s">
        <v>25</v>
      </c>
      <c r="C10" s="4" t="s">
        <v>26</v>
      </c>
      <c r="D10" s="4" t="s">
        <v>15</v>
      </c>
      <c r="E10" s="6">
        <v>812000</v>
      </c>
      <c r="F10" s="7">
        <v>9791.91</v>
      </c>
      <c r="G10" s="8">
        <v>4.7600000000000003E-2</v>
      </c>
      <c r="H10" s="9"/>
      <c r="I10" s="33"/>
    </row>
    <row r="11" spans="1:9" ht="12.95" customHeight="1" x14ac:dyDescent="0.2">
      <c r="A11" s="5" t="s">
        <v>49</v>
      </c>
      <c r="B11" s="32" t="s">
        <v>50</v>
      </c>
      <c r="C11" s="4" t="s">
        <v>51</v>
      </c>
      <c r="D11" s="4" t="s">
        <v>52</v>
      </c>
      <c r="E11" s="6">
        <v>478800</v>
      </c>
      <c r="F11" s="7">
        <v>8534.1299999999992</v>
      </c>
      <c r="G11" s="8">
        <v>4.1399999999999999E-2</v>
      </c>
      <c r="H11" s="9"/>
      <c r="I11" s="33"/>
    </row>
    <row r="12" spans="1:9" ht="12.95" customHeight="1" x14ac:dyDescent="0.2">
      <c r="A12" s="5" t="s">
        <v>46</v>
      </c>
      <c r="B12" s="32" t="s">
        <v>47</v>
      </c>
      <c r="C12" s="4" t="s">
        <v>48</v>
      </c>
      <c r="D12" s="4" t="s">
        <v>15</v>
      </c>
      <c r="E12" s="6">
        <v>715000</v>
      </c>
      <c r="F12" s="7">
        <v>8303.2999999999993</v>
      </c>
      <c r="G12" s="8">
        <v>4.0300000000000002E-2</v>
      </c>
      <c r="H12" s="9"/>
      <c r="I12" s="33"/>
    </row>
    <row r="13" spans="1:9" ht="12.95" customHeight="1" x14ac:dyDescent="0.2">
      <c r="A13" s="5" t="s">
        <v>130</v>
      </c>
      <c r="B13" s="32" t="s">
        <v>131</v>
      </c>
      <c r="C13" s="4" t="s">
        <v>132</v>
      </c>
      <c r="D13" s="4" t="s">
        <v>133</v>
      </c>
      <c r="E13" s="6">
        <v>584500</v>
      </c>
      <c r="F13" s="7">
        <v>7855.1</v>
      </c>
      <c r="G13" s="8">
        <v>3.8100000000000002E-2</v>
      </c>
      <c r="H13" s="9"/>
      <c r="I13" s="33"/>
    </row>
    <row r="14" spans="1:9" ht="12.95" customHeight="1" x14ac:dyDescent="0.2">
      <c r="A14" s="5" t="s">
        <v>38</v>
      </c>
      <c r="B14" s="32" t="s">
        <v>39</v>
      </c>
      <c r="C14" s="4" t="s">
        <v>40</v>
      </c>
      <c r="D14" s="4" t="s">
        <v>41</v>
      </c>
      <c r="E14" s="6">
        <v>210800</v>
      </c>
      <c r="F14" s="7">
        <v>6228.51</v>
      </c>
      <c r="G14" s="8">
        <v>3.0200000000000001E-2</v>
      </c>
      <c r="H14" s="9"/>
      <c r="I14" s="33"/>
    </row>
    <row r="15" spans="1:9" ht="12.95" customHeight="1" x14ac:dyDescent="0.2">
      <c r="A15" s="5" t="s">
        <v>647</v>
      </c>
      <c r="B15" s="32" t="s">
        <v>648</v>
      </c>
      <c r="C15" s="4" t="s">
        <v>649</v>
      </c>
      <c r="D15" s="4" t="s">
        <v>15</v>
      </c>
      <c r="E15" s="6">
        <v>605250</v>
      </c>
      <c r="F15" s="7">
        <v>5927.82</v>
      </c>
      <c r="G15" s="8">
        <v>2.8799999999999999E-2</v>
      </c>
      <c r="H15" s="9"/>
      <c r="I15" s="33"/>
    </row>
    <row r="16" spans="1:9" ht="12.95" customHeight="1" x14ac:dyDescent="0.2">
      <c r="A16" s="5" t="s">
        <v>650</v>
      </c>
      <c r="B16" s="32" t="s">
        <v>651</v>
      </c>
      <c r="C16" s="4" t="s">
        <v>652</v>
      </c>
      <c r="D16" s="4" t="s">
        <v>653</v>
      </c>
      <c r="E16" s="6">
        <v>2843500</v>
      </c>
      <c r="F16" s="7">
        <v>5455.54</v>
      </c>
      <c r="G16" s="8">
        <v>2.6499999999999999E-2</v>
      </c>
      <c r="H16" s="9"/>
      <c r="I16" s="33"/>
    </row>
    <row r="17" spans="1:9" ht="12.95" customHeight="1" x14ac:dyDescent="0.2">
      <c r="A17" s="5" t="s">
        <v>654</v>
      </c>
      <c r="B17" s="32" t="s">
        <v>655</v>
      </c>
      <c r="C17" s="4" t="s">
        <v>656</v>
      </c>
      <c r="D17" s="4" t="s">
        <v>657</v>
      </c>
      <c r="E17" s="6">
        <v>1976625</v>
      </c>
      <c r="F17" s="7">
        <v>4852.6099999999997</v>
      </c>
      <c r="G17" s="8">
        <v>2.3599999999999999E-2</v>
      </c>
      <c r="H17" s="9"/>
      <c r="I17" s="33"/>
    </row>
    <row r="18" spans="1:9" ht="12.95" customHeight="1" x14ac:dyDescent="0.2">
      <c r="A18" s="5" t="s">
        <v>658</v>
      </c>
      <c r="B18" s="32" t="s">
        <v>659</v>
      </c>
      <c r="C18" s="4" t="s">
        <v>660</v>
      </c>
      <c r="D18" s="4" t="s">
        <v>661</v>
      </c>
      <c r="E18" s="6">
        <v>5521500</v>
      </c>
      <c r="F18" s="7">
        <v>4211.25</v>
      </c>
      <c r="G18" s="8">
        <v>2.0500000000000001E-2</v>
      </c>
      <c r="H18" s="9"/>
      <c r="I18" s="33"/>
    </row>
    <row r="19" spans="1:9" ht="12.95" customHeight="1" x14ac:dyDescent="0.2">
      <c r="A19" s="5" t="s">
        <v>662</v>
      </c>
      <c r="B19" s="32" t="s">
        <v>663</v>
      </c>
      <c r="C19" s="4" t="s">
        <v>664</v>
      </c>
      <c r="D19" s="4" t="s">
        <v>34</v>
      </c>
      <c r="E19" s="6">
        <v>397650</v>
      </c>
      <c r="F19" s="7">
        <v>3467.91</v>
      </c>
      <c r="G19" s="8">
        <v>1.6799999999999999E-2</v>
      </c>
      <c r="H19" s="9"/>
      <c r="I19" s="33"/>
    </row>
    <row r="20" spans="1:9" ht="12.95" customHeight="1" x14ac:dyDescent="0.2">
      <c r="A20" s="5" t="s">
        <v>148</v>
      </c>
      <c r="B20" s="32" t="s">
        <v>149</v>
      </c>
      <c r="C20" s="4" t="s">
        <v>150</v>
      </c>
      <c r="D20" s="4" t="s">
        <v>151</v>
      </c>
      <c r="E20" s="6">
        <v>765225</v>
      </c>
      <c r="F20" s="7">
        <v>3065.87</v>
      </c>
      <c r="G20" s="8">
        <v>1.49E-2</v>
      </c>
      <c r="H20" s="9"/>
      <c r="I20" s="33"/>
    </row>
    <row r="21" spans="1:9" ht="12.95" customHeight="1" x14ac:dyDescent="0.2">
      <c r="A21" s="5" t="s">
        <v>665</v>
      </c>
      <c r="B21" s="32" t="s">
        <v>666</v>
      </c>
      <c r="C21" s="4" t="s">
        <v>667</v>
      </c>
      <c r="D21" s="4" t="s">
        <v>461</v>
      </c>
      <c r="E21" s="6">
        <v>24650</v>
      </c>
      <c r="F21" s="7">
        <v>2648.64</v>
      </c>
      <c r="G21" s="8">
        <v>1.29E-2</v>
      </c>
      <c r="H21" s="9"/>
      <c r="I21" s="33"/>
    </row>
    <row r="22" spans="1:9" ht="12.95" customHeight="1" x14ac:dyDescent="0.2">
      <c r="A22" s="5" t="s">
        <v>668</v>
      </c>
      <c r="B22" s="32" t="s">
        <v>669</v>
      </c>
      <c r="C22" s="4" t="s">
        <v>670</v>
      </c>
      <c r="D22" s="4" t="s">
        <v>15</v>
      </c>
      <c r="E22" s="6">
        <v>2632000</v>
      </c>
      <c r="F22" s="7">
        <v>2646.74</v>
      </c>
      <c r="G22" s="8">
        <v>1.29E-2</v>
      </c>
      <c r="H22" s="9"/>
      <c r="I22" s="33"/>
    </row>
    <row r="23" spans="1:9" ht="12.95" customHeight="1" x14ac:dyDescent="0.2">
      <c r="A23" s="5" t="s">
        <v>671</v>
      </c>
      <c r="B23" s="32" t="s">
        <v>672</v>
      </c>
      <c r="C23" s="4" t="s">
        <v>673</v>
      </c>
      <c r="D23" s="4" t="s">
        <v>674</v>
      </c>
      <c r="E23" s="6">
        <v>3110850</v>
      </c>
      <c r="F23" s="7">
        <v>2636.45</v>
      </c>
      <c r="G23" s="8">
        <v>1.2800000000000001E-2</v>
      </c>
      <c r="H23" s="9"/>
      <c r="I23" s="33"/>
    </row>
    <row r="24" spans="1:9" ht="12.95" customHeight="1" x14ac:dyDescent="0.2">
      <c r="A24" s="5" t="s">
        <v>675</v>
      </c>
      <c r="B24" s="32" t="s">
        <v>676</v>
      </c>
      <c r="C24" s="4" t="s">
        <v>677</v>
      </c>
      <c r="D24" s="4" t="s">
        <v>15</v>
      </c>
      <c r="E24" s="6">
        <v>4136650</v>
      </c>
      <c r="F24" s="7">
        <v>2434.42</v>
      </c>
      <c r="G24" s="8">
        <v>1.18E-2</v>
      </c>
      <c r="H24" s="9"/>
      <c r="I24" s="33"/>
    </row>
    <row r="25" spans="1:9" ht="12.95" customHeight="1" x14ac:dyDescent="0.2">
      <c r="A25" s="5" t="s">
        <v>678</v>
      </c>
      <c r="B25" s="32" t="s">
        <v>679</v>
      </c>
      <c r="C25" s="4" t="s">
        <v>680</v>
      </c>
      <c r="D25" s="4" t="s">
        <v>15</v>
      </c>
      <c r="E25" s="6">
        <v>933075</v>
      </c>
      <c r="F25" s="7">
        <v>2310.29</v>
      </c>
      <c r="G25" s="8">
        <v>1.12E-2</v>
      </c>
      <c r="H25" s="9"/>
      <c r="I25" s="33"/>
    </row>
    <row r="26" spans="1:9" ht="12.95" customHeight="1" x14ac:dyDescent="0.2">
      <c r="A26" s="5" t="s">
        <v>681</v>
      </c>
      <c r="B26" s="32" t="s">
        <v>682</v>
      </c>
      <c r="C26" s="4" t="s">
        <v>683</v>
      </c>
      <c r="D26" s="4" t="s">
        <v>34</v>
      </c>
      <c r="E26" s="6">
        <v>251250</v>
      </c>
      <c r="F26" s="7">
        <v>2013.89</v>
      </c>
      <c r="G26" s="8">
        <v>9.7999999999999997E-3</v>
      </c>
      <c r="H26" s="9"/>
      <c r="I26" s="33"/>
    </row>
    <row r="27" spans="1:9" ht="12.95" customHeight="1" x14ac:dyDescent="0.2">
      <c r="A27" s="5" t="s">
        <v>59</v>
      </c>
      <c r="B27" s="32" t="s">
        <v>60</v>
      </c>
      <c r="C27" s="4" t="s">
        <v>61</v>
      </c>
      <c r="D27" s="4" t="s">
        <v>45</v>
      </c>
      <c r="E27" s="6">
        <v>81200</v>
      </c>
      <c r="F27" s="7">
        <v>1915.43</v>
      </c>
      <c r="G27" s="8">
        <v>9.2999999999999992E-3</v>
      </c>
      <c r="H27" s="9"/>
      <c r="I27" s="33"/>
    </row>
    <row r="28" spans="1:9" ht="12.95" customHeight="1" x14ac:dyDescent="0.2">
      <c r="A28" s="5" t="s">
        <v>134</v>
      </c>
      <c r="B28" s="32" t="s">
        <v>135</v>
      </c>
      <c r="C28" s="4" t="s">
        <v>136</v>
      </c>
      <c r="D28" s="4" t="s">
        <v>137</v>
      </c>
      <c r="E28" s="6">
        <v>46375</v>
      </c>
      <c r="F28" s="7">
        <v>1832.46</v>
      </c>
      <c r="G28" s="8">
        <v>8.8999999999999999E-3</v>
      </c>
      <c r="H28" s="9"/>
      <c r="I28" s="33"/>
    </row>
    <row r="29" spans="1:9" ht="12.95" customHeight="1" x14ac:dyDescent="0.2">
      <c r="A29" s="5" t="s">
        <v>684</v>
      </c>
      <c r="B29" s="32" t="s">
        <v>685</v>
      </c>
      <c r="C29" s="4" t="s">
        <v>686</v>
      </c>
      <c r="D29" s="4" t="s">
        <v>151</v>
      </c>
      <c r="E29" s="6">
        <v>51750</v>
      </c>
      <c r="F29" s="7">
        <v>1804.63</v>
      </c>
      <c r="G29" s="8">
        <v>8.8000000000000005E-3</v>
      </c>
      <c r="H29" s="9"/>
      <c r="I29" s="33"/>
    </row>
    <row r="30" spans="1:9" ht="12.95" customHeight="1" x14ac:dyDescent="0.2">
      <c r="A30" s="5" t="s">
        <v>687</v>
      </c>
      <c r="B30" s="32" t="s">
        <v>688</v>
      </c>
      <c r="C30" s="4" t="s">
        <v>689</v>
      </c>
      <c r="D30" s="4" t="s">
        <v>41</v>
      </c>
      <c r="E30" s="6">
        <v>26300</v>
      </c>
      <c r="F30" s="7">
        <v>1732.12</v>
      </c>
      <c r="G30" s="8">
        <v>8.3999999999999995E-3</v>
      </c>
      <c r="H30" s="9"/>
      <c r="I30" s="33"/>
    </row>
    <row r="31" spans="1:9" ht="12.95" customHeight="1" x14ac:dyDescent="0.2">
      <c r="A31" s="5" t="s">
        <v>690</v>
      </c>
      <c r="B31" s="32" t="s">
        <v>691</v>
      </c>
      <c r="C31" s="4" t="s">
        <v>692</v>
      </c>
      <c r="D31" s="4" t="s">
        <v>156</v>
      </c>
      <c r="E31" s="6">
        <v>339900</v>
      </c>
      <c r="F31" s="7">
        <v>1713.44</v>
      </c>
      <c r="G31" s="8">
        <v>8.3000000000000001E-3</v>
      </c>
      <c r="H31" s="9"/>
      <c r="I31" s="33"/>
    </row>
    <row r="32" spans="1:9" ht="12.95" customHeight="1" x14ac:dyDescent="0.2">
      <c r="A32" s="5" t="s">
        <v>693</v>
      </c>
      <c r="B32" s="32" t="s">
        <v>694</v>
      </c>
      <c r="C32" s="4" t="s">
        <v>695</v>
      </c>
      <c r="D32" s="4" t="s">
        <v>15</v>
      </c>
      <c r="E32" s="6">
        <v>1116000</v>
      </c>
      <c r="F32" s="7">
        <v>1577.47</v>
      </c>
      <c r="G32" s="8">
        <v>7.7000000000000002E-3</v>
      </c>
      <c r="H32" s="9"/>
      <c r="I32" s="33"/>
    </row>
    <row r="33" spans="1:9" ht="12.95" customHeight="1" x14ac:dyDescent="0.2">
      <c r="A33" s="5" t="s">
        <v>696</v>
      </c>
      <c r="B33" s="32" t="s">
        <v>697</v>
      </c>
      <c r="C33" s="4" t="s">
        <v>698</v>
      </c>
      <c r="D33" s="4" t="s">
        <v>19</v>
      </c>
      <c r="E33" s="6">
        <v>416150</v>
      </c>
      <c r="F33" s="7">
        <v>1576.17</v>
      </c>
      <c r="G33" s="8">
        <v>7.7000000000000002E-3</v>
      </c>
      <c r="H33" s="9"/>
      <c r="I33" s="33"/>
    </row>
    <row r="34" spans="1:9" ht="12.95" customHeight="1" x14ac:dyDescent="0.2">
      <c r="A34" s="5" t="s">
        <v>699</v>
      </c>
      <c r="B34" s="32" t="s">
        <v>700</v>
      </c>
      <c r="C34" s="4" t="s">
        <v>701</v>
      </c>
      <c r="D34" s="4" t="s">
        <v>702</v>
      </c>
      <c r="E34" s="6">
        <v>555325</v>
      </c>
      <c r="F34" s="7">
        <v>1271.58</v>
      </c>
      <c r="G34" s="8">
        <v>6.1999999999999998E-3</v>
      </c>
      <c r="H34" s="9"/>
      <c r="I34" s="33"/>
    </row>
    <row r="35" spans="1:9" ht="12.95" customHeight="1" x14ac:dyDescent="0.2">
      <c r="A35" s="5" t="s">
        <v>703</v>
      </c>
      <c r="B35" s="32" t="s">
        <v>704</v>
      </c>
      <c r="C35" s="4" t="s">
        <v>705</v>
      </c>
      <c r="D35" s="4" t="s">
        <v>34</v>
      </c>
      <c r="E35" s="6">
        <v>479400</v>
      </c>
      <c r="F35" s="7">
        <v>1074.3399999999999</v>
      </c>
      <c r="G35" s="8">
        <v>5.1999999999999998E-3</v>
      </c>
      <c r="H35" s="9"/>
      <c r="I35" s="33"/>
    </row>
    <row r="36" spans="1:9" ht="12.95" customHeight="1" x14ac:dyDescent="0.2">
      <c r="A36" s="5" t="s">
        <v>706</v>
      </c>
      <c r="B36" s="32" t="s">
        <v>707</v>
      </c>
      <c r="C36" s="4" t="s">
        <v>708</v>
      </c>
      <c r="D36" s="4" t="s">
        <v>75</v>
      </c>
      <c r="E36" s="6">
        <v>19500</v>
      </c>
      <c r="F36" s="7">
        <v>1057.49</v>
      </c>
      <c r="G36" s="8">
        <v>5.1000000000000004E-3</v>
      </c>
      <c r="H36" s="9"/>
      <c r="I36" s="33"/>
    </row>
    <row r="37" spans="1:9" ht="12.95" customHeight="1" x14ac:dyDescent="0.2">
      <c r="A37" s="5" t="s">
        <v>709</v>
      </c>
      <c r="B37" s="32" t="s">
        <v>710</v>
      </c>
      <c r="C37" s="4" t="s">
        <v>711</v>
      </c>
      <c r="D37" s="4" t="s">
        <v>461</v>
      </c>
      <c r="E37" s="6">
        <v>40750</v>
      </c>
      <c r="F37" s="7">
        <v>1042.26</v>
      </c>
      <c r="G37" s="8">
        <v>5.1000000000000004E-3</v>
      </c>
      <c r="H37" s="9"/>
      <c r="I37" s="33"/>
    </row>
    <row r="38" spans="1:9" ht="12.95" customHeight="1" x14ac:dyDescent="0.2">
      <c r="A38" s="5" t="s">
        <v>712</v>
      </c>
      <c r="B38" s="32" t="s">
        <v>713</v>
      </c>
      <c r="C38" s="4" t="s">
        <v>714</v>
      </c>
      <c r="D38" s="4" t="s">
        <v>715</v>
      </c>
      <c r="E38" s="6">
        <v>176000</v>
      </c>
      <c r="F38" s="7">
        <v>1004.87</v>
      </c>
      <c r="G38" s="8">
        <v>4.8999999999999998E-3</v>
      </c>
      <c r="H38" s="9"/>
      <c r="I38" s="33"/>
    </row>
    <row r="39" spans="1:9" ht="12.95" customHeight="1" x14ac:dyDescent="0.2">
      <c r="A39" s="5" t="s">
        <v>716</v>
      </c>
      <c r="B39" s="32" t="s">
        <v>717</v>
      </c>
      <c r="C39" s="4" t="s">
        <v>718</v>
      </c>
      <c r="D39" s="4" t="s">
        <v>719</v>
      </c>
      <c r="E39" s="6">
        <v>27125</v>
      </c>
      <c r="F39" s="7">
        <v>950.49</v>
      </c>
      <c r="G39" s="8">
        <v>4.5999999999999999E-3</v>
      </c>
      <c r="H39" s="9"/>
      <c r="I39" s="33"/>
    </row>
    <row r="40" spans="1:9" ht="12.95" customHeight="1" x14ac:dyDescent="0.2">
      <c r="A40" s="5" t="s">
        <v>27</v>
      </c>
      <c r="B40" s="32" t="s">
        <v>28</v>
      </c>
      <c r="C40" s="4" t="s">
        <v>29</v>
      </c>
      <c r="D40" s="4" t="s">
        <v>30</v>
      </c>
      <c r="E40" s="6">
        <v>324800</v>
      </c>
      <c r="F40" s="7">
        <v>934.45</v>
      </c>
      <c r="G40" s="8">
        <v>4.4999999999999997E-3</v>
      </c>
      <c r="H40" s="9"/>
      <c r="I40" s="33"/>
    </row>
    <row r="41" spans="1:9" ht="12.95" customHeight="1" x14ac:dyDescent="0.2">
      <c r="A41" s="5" t="s">
        <v>720</v>
      </c>
      <c r="B41" s="32" t="s">
        <v>721</v>
      </c>
      <c r="C41" s="4" t="s">
        <v>722</v>
      </c>
      <c r="D41" s="4" t="s">
        <v>34</v>
      </c>
      <c r="E41" s="6">
        <v>176000</v>
      </c>
      <c r="F41" s="7">
        <v>871.64</v>
      </c>
      <c r="G41" s="8">
        <v>4.1999999999999997E-3</v>
      </c>
      <c r="H41" s="9"/>
      <c r="I41" s="33"/>
    </row>
    <row r="42" spans="1:9" ht="12.95" customHeight="1" x14ac:dyDescent="0.2">
      <c r="A42" s="5" t="s">
        <v>723</v>
      </c>
      <c r="B42" s="32" t="s">
        <v>724</v>
      </c>
      <c r="C42" s="4" t="s">
        <v>725</v>
      </c>
      <c r="D42" s="4" t="s">
        <v>15</v>
      </c>
      <c r="E42" s="6">
        <v>675000</v>
      </c>
      <c r="F42" s="7">
        <v>833.29</v>
      </c>
      <c r="G42" s="8">
        <v>4.0000000000000001E-3</v>
      </c>
      <c r="H42" s="9"/>
      <c r="I42" s="33"/>
    </row>
    <row r="43" spans="1:9" ht="12.95" customHeight="1" x14ac:dyDescent="0.2">
      <c r="A43" s="5" t="s">
        <v>726</v>
      </c>
      <c r="B43" s="32" t="s">
        <v>727</v>
      </c>
      <c r="C43" s="4" t="s">
        <v>728</v>
      </c>
      <c r="D43" s="4" t="s">
        <v>653</v>
      </c>
      <c r="E43" s="6">
        <v>507600</v>
      </c>
      <c r="F43" s="7">
        <v>768.61</v>
      </c>
      <c r="G43" s="8">
        <v>3.7000000000000002E-3</v>
      </c>
      <c r="H43" s="9"/>
      <c r="I43" s="33"/>
    </row>
    <row r="44" spans="1:9" ht="12.95" customHeight="1" x14ac:dyDescent="0.2">
      <c r="A44" s="5" t="s">
        <v>729</v>
      </c>
      <c r="B44" s="32" t="s">
        <v>730</v>
      </c>
      <c r="C44" s="4" t="s">
        <v>731</v>
      </c>
      <c r="D44" s="4" t="s">
        <v>34</v>
      </c>
      <c r="E44" s="6">
        <v>232500</v>
      </c>
      <c r="F44" s="7">
        <v>679.48</v>
      </c>
      <c r="G44" s="8">
        <v>3.3E-3</v>
      </c>
      <c r="H44" s="9"/>
      <c r="I44" s="33"/>
    </row>
    <row r="45" spans="1:9" ht="12.95" customHeight="1" x14ac:dyDescent="0.2">
      <c r="A45" s="5" t="s">
        <v>732</v>
      </c>
      <c r="B45" s="32" t="s">
        <v>733</v>
      </c>
      <c r="C45" s="4" t="s">
        <v>734</v>
      </c>
      <c r="D45" s="4" t="s">
        <v>653</v>
      </c>
      <c r="E45" s="6">
        <v>58050</v>
      </c>
      <c r="F45" s="7">
        <v>651.61</v>
      </c>
      <c r="G45" s="8">
        <v>3.2000000000000002E-3</v>
      </c>
      <c r="H45" s="9"/>
      <c r="I45" s="33"/>
    </row>
    <row r="46" spans="1:9" ht="12.95" customHeight="1" x14ac:dyDescent="0.2">
      <c r="A46" s="5" t="s">
        <v>735</v>
      </c>
      <c r="B46" s="32" t="s">
        <v>736</v>
      </c>
      <c r="C46" s="4" t="s">
        <v>737</v>
      </c>
      <c r="D46" s="4" t="s">
        <v>65</v>
      </c>
      <c r="E46" s="6">
        <v>160000</v>
      </c>
      <c r="F46" s="7">
        <v>577.44000000000005</v>
      </c>
      <c r="G46" s="8">
        <v>2.8E-3</v>
      </c>
      <c r="H46" s="9"/>
      <c r="I46" s="33"/>
    </row>
    <row r="47" spans="1:9" ht="12.95" customHeight="1" x14ac:dyDescent="0.2">
      <c r="A47" s="5" t="s">
        <v>66</v>
      </c>
      <c r="B47" s="32" t="s">
        <v>67</v>
      </c>
      <c r="C47" s="4" t="s">
        <v>68</v>
      </c>
      <c r="D47" s="4" t="s">
        <v>65</v>
      </c>
      <c r="E47" s="6">
        <v>58500</v>
      </c>
      <c r="F47" s="7">
        <v>509.65</v>
      </c>
      <c r="G47" s="8">
        <v>2.5000000000000001E-3</v>
      </c>
      <c r="H47" s="9"/>
      <c r="I47" s="33"/>
    </row>
    <row r="48" spans="1:9" ht="12.95" customHeight="1" x14ac:dyDescent="0.2">
      <c r="A48" s="5" t="s">
        <v>738</v>
      </c>
      <c r="B48" s="32" t="s">
        <v>739</v>
      </c>
      <c r="C48" s="4" t="s">
        <v>740</v>
      </c>
      <c r="D48" s="4" t="s">
        <v>741</v>
      </c>
      <c r="E48" s="6">
        <v>129375</v>
      </c>
      <c r="F48" s="7">
        <v>496.93</v>
      </c>
      <c r="G48" s="8">
        <v>2.3999999999999998E-3</v>
      </c>
      <c r="H48" s="9"/>
      <c r="I48" s="33"/>
    </row>
    <row r="49" spans="1:9" ht="12.95" customHeight="1" x14ac:dyDescent="0.2">
      <c r="A49" s="5" t="s">
        <v>62</v>
      </c>
      <c r="B49" s="32" t="s">
        <v>63</v>
      </c>
      <c r="C49" s="4" t="s">
        <v>64</v>
      </c>
      <c r="D49" s="4" t="s">
        <v>65</v>
      </c>
      <c r="E49" s="6">
        <v>38750</v>
      </c>
      <c r="F49" s="7">
        <v>486.27</v>
      </c>
      <c r="G49" s="8">
        <v>2.3999999999999998E-3</v>
      </c>
      <c r="H49" s="9"/>
      <c r="I49" s="33"/>
    </row>
    <row r="50" spans="1:9" ht="12.95" customHeight="1" x14ac:dyDescent="0.2">
      <c r="A50" s="5" t="s">
        <v>742</v>
      </c>
      <c r="B50" s="32" t="s">
        <v>743</v>
      </c>
      <c r="C50" s="4" t="s">
        <v>744</v>
      </c>
      <c r="D50" s="4" t="s">
        <v>34</v>
      </c>
      <c r="E50" s="6">
        <v>318200</v>
      </c>
      <c r="F50" s="7">
        <v>475.77</v>
      </c>
      <c r="G50" s="8">
        <v>2.3E-3</v>
      </c>
      <c r="H50" s="9"/>
      <c r="I50" s="33"/>
    </row>
    <row r="51" spans="1:9" ht="12.95" customHeight="1" x14ac:dyDescent="0.2">
      <c r="A51" s="5" t="s">
        <v>745</v>
      </c>
      <c r="B51" s="32" t="s">
        <v>746</v>
      </c>
      <c r="C51" s="4" t="s">
        <v>747</v>
      </c>
      <c r="D51" s="4" t="s">
        <v>34</v>
      </c>
      <c r="E51" s="6">
        <v>27250</v>
      </c>
      <c r="F51" s="7">
        <v>444.67</v>
      </c>
      <c r="G51" s="8">
        <v>2.2000000000000001E-3</v>
      </c>
      <c r="H51" s="9"/>
      <c r="I51" s="33"/>
    </row>
    <row r="52" spans="1:9" ht="12.95" customHeight="1" x14ac:dyDescent="0.2">
      <c r="A52" s="5" t="s">
        <v>138</v>
      </c>
      <c r="B52" s="32" t="s">
        <v>139</v>
      </c>
      <c r="C52" s="4" t="s">
        <v>140</v>
      </c>
      <c r="D52" s="4" t="s">
        <v>65</v>
      </c>
      <c r="E52" s="6">
        <v>24850</v>
      </c>
      <c r="F52" s="7">
        <v>436.66</v>
      </c>
      <c r="G52" s="8">
        <v>2.0999999999999999E-3</v>
      </c>
      <c r="H52" s="9"/>
      <c r="I52" s="33"/>
    </row>
    <row r="53" spans="1:9" ht="12.95" customHeight="1" x14ac:dyDescent="0.2">
      <c r="A53" s="5" t="s">
        <v>748</v>
      </c>
      <c r="B53" s="32" t="s">
        <v>749</v>
      </c>
      <c r="C53" s="4" t="s">
        <v>750</v>
      </c>
      <c r="D53" s="4" t="s">
        <v>19</v>
      </c>
      <c r="E53" s="6">
        <v>88000</v>
      </c>
      <c r="F53" s="7">
        <v>415.01</v>
      </c>
      <c r="G53" s="8">
        <v>2E-3</v>
      </c>
      <c r="H53" s="9"/>
      <c r="I53" s="33"/>
    </row>
    <row r="54" spans="1:9" ht="12.95" customHeight="1" x14ac:dyDescent="0.2">
      <c r="A54" s="5" t="s">
        <v>751</v>
      </c>
      <c r="B54" s="32" t="s">
        <v>752</v>
      </c>
      <c r="C54" s="4" t="s">
        <v>753</v>
      </c>
      <c r="D54" s="4" t="s">
        <v>137</v>
      </c>
      <c r="E54" s="6">
        <v>144000</v>
      </c>
      <c r="F54" s="7">
        <v>321.98</v>
      </c>
      <c r="G54" s="8">
        <v>1.6000000000000001E-3</v>
      </c>
      <c r="H54" s="9"/>
      <c r="I54" s="33"/>
    </row>
    <row r="55" spans="1:9" ht="12.95" customHeight="1" x14ac:dyDescent="0.2">
      <c r="A55" s="5" t="s">
        <v>754</v>
      </c>
      <c r="B55" s="32" t="s">
        <v>755</v>
      </c>
      <c r="C55" s="4" t="s">
        <v>756</v>
      </c>
      <c r="D55" s="4" t="s">
        <v>431</v>
      </c>
      <c r="E55" s="6">
        <v>26950</v>
      </c>
      <c r="F55" s="7">
        <v>273.49</v>
      </c>
      <c r="G55" s="8">
        <v>1.2999999999999999E-3</v>
      </c>
      <c r="H55" s="9"/>
      <c r="I55" s="33"/>
    </row>
    <row r="56" spans="1:9" ht="12.95" customHeight="1" x14ac:dyDescent="0.2">
      <c r="A56" s="5" t="s">
        <v>757</v>
      </c>
      <c r="B56" s="32" t="s">
        <v>758</v>
      </c>
      <c r="C56" s="4" t="s">
        <v>759</v>
      </c>
      <c r="D56" s="4" t="s">
        <v>760</v>
      </c>
      <c r="E56" s="6">
        <v>24650</v>
      </c>
      <c r="F56" s="7">
        <v>236.39</v>
      </c>
      <c r="G56" s="8">
        <v>1.1000000000000001E-3</v>
      </c>
      <c r="H56" s="9"/>
      <c r="I56" s="33"/>
    </row>
    <row r="57" spans="1:9" ht="12.95" customHeight="1" x14ac:dyDescent="0.2">
      <c r="A57" s="5" t="s">
        <v>761</v>
      </c>
      <c r="B57" s="32" t="s">
        <v>762</v>
      </c>
      <c r="C57" s="4" t="s">
        <v>763</v>
      </c>
      <c r="D57" s="4" t="s">
        <v>65</v>
      </c>
      <c r="E57" s="6">
        <v>17600</v>
      </c>
      <c r="F57" s="7">
        <v>229.57</v>
      </c>
      <c r="G57" s="8">
        <v>1.1000000000000001E-3</v>
      </c>
      <c r="H57" s="9"/>
      <c r="I57" s="33"/>
    </row>
    <row r="58" spans="1:9" ht="12.95" customHeight="1" x14ac:dyDescent="0.2">
      <c r="A58" s="5" t="s">
        <v>764</v>
      </c>
      <c r="B58" s="32" t="s">
        <v>765</v>
      </c>
      <c r="C58" s="4" t="s">
        <v>766</v>
      </c>
      <c r="D58" s="4" t="s">
        <v>657</v>
      </c>
      <c r="E58" s="6">
        <v>286000</v>
      </c>
      <c r="F58" s="7">
        <v>215.9</v>
      </c>
      <c r="G58" s="8">
        <v>1E-3</v>
      </c>
      <c r="H58" s="9"/>
      <c r="I58" s="33"/>
    </row>
    <row r="59" spans="1:9" ht="12.95" customHeight="1" x14ac:dyDescent="0.2">
      <c r="A59" s="5" t="s">
        <v>53</v>
      </c>
      <c r="B59" s="32" t="s">
        <v>54</v>
      </c>
      <c r="C59" s="4" t="s">
        <v>55</v>
      </c>
      <c r="D59" s="4" t="s">
        <v>41</v>
      </c>
      <c r="E59" s="6">
        <v>1700</v>
      </c>
      <c r="F59" s="7">
        <v>209.2</v>
      </c>
      <c r="G59" s="8">
        <v>1E-3</v>
      </c>
      <c r="H59" s="9"/>
      <c r="I59" s="33"/>
    </row>
    <row r="60" spans="1:9" ht="12.95" customHeight="1" x14ac:dyDescent="0.2">
      <c r="A60" s="5" t="s">
        <v>767</v>
      </c>
      <c r="B60" s="32" t="s">
        <v>768</v>
      </c>
      <c r="C60" s="4" t="s">
        <v>769</v>
      </c>
      <c r="D60" s="4" t="s">
        <v>65</v>
      </c>
      <c r="E60" s="6">
        <v>3400</v>
      </c>
      <c r="F60" s="7">
        <v>202.2</v>
      </c>
      <c r="G60" s="8">
        <v>1E-3</v>
      </c>
      <c r="H60" s="9"/>
      <c r="I60" s="33"/>
    </row>
    <row r="61" spans="1:9" ht="12.95" customHeight="1" x14ac:dyDescent="0.2">
      <c r="A61" s="5" t="s">
        <v>770</v>
      </c>
      <c r="B61" s="32" t="s">
        <v>771</v>
      </c>
      <c r="C61" s="4" t="s">
        <v>772</v>
      </c>
      <c r="D61" s="4" t="s">
        <v>34</v>
      </c>
      <c r="E61" s="6">
        <v>25350</v>
      </c>
      <c r="F61" s="7">
        <v>191.41</v>
      </c>
      <c r="G61" s="8">
        <v>8.9999999999999998E-4</v>
      </c>
      <c r="H61" s="9"/>
      <c r="I61" s="33"/>
    </row>
    <row r="62" spans="1:9" ht="12.95" customHeight="1" x14ac:dyDescent="0.2">
      <c r="A62" s="5" t="s">
        <v>773</v>
      </c>
      <c r="B62" s="32" t="s">
        <v>774</v>
      </c>
      <c r="C62" s="4" t="s">
        <v>775</v>
      </c>
      <c r="D62" s="4" t="s">
        <v>86</v>
      </c>
      <c r="E62" s="6">
        <v>64800</v>
      </c>
      <c r="F62" s="7">
        <v>186.56</v>
      </c>
      <c r="G62" s="8">
        <v>8.9999999999999998E-4</v>
      </c>
      <c r="H62" s="9"/>
      <c r="I62" s="33"/>
    </row>
    <row r="63" spans="1:9" ht="12.95" customHeight="1" x14ac:dyDescent="0.2">
      <c r="A63" s="5" t="s">
        <v>776</v>
      </c>
      <c r="B63" s="32" t="s">
        <v>777</v>
      </c>
      <c r="C63" s="4" t="s">
        <v>778</v>
      </c>
      <c r="D63" s="4" t="s">
        <v>156</v>
      </c>
      <c r="E63" s="6">
        <v>23850</v>
      </c>
      <c r="F63" s="7">
        <v>161.46</v>
      </c>
      <c r="G63" s="8">
        <v>8.0000000000000004E-4</v>
      </c>
      <c r="H63" s="9"/>
      <c r="I63" s="33"/>
    </row>
    <row r="64" spans="1:9" ht="12.95" customHeight="1" x14ac:dyDescent="0.2">
      <c r="A64" s="5" t="s">
        <v>779</v>
      </c>
      <c r="B64" s="32" t="s">
        <v>780</v>
      </c>
      <c r="C64" s="4" t="s">
        <v>781</v>
      </c>
      <c r="D64" s="4" t="s">
        <v>124</v>
      </c>
      <c r="E64" s="6">
        <v>113400</v>
      </c>
      <c r="F64" s="7">
        <v>156.16</v>
      </c>
      <c r="G64" s="8">
        <v>8.0000000000000004E-4</v>
      </c>
      <c r="H64" s="9"/>
      <c r="I64" s="33"/>
    </row>
    <row r="65" spans="1:9" ht="12.95" customHeight="1" x14ac:dyDescent="0.2">
      <c r="A65" s="5" t="s">
        <v>782</v>
      </c>
      <c r="B65" s="32" t="s">
        <v>783</v>
      </c>
      <c r="C65" s="4" t="s">
        <v>784</v>
      </c>
      <c r="D65" s="4" t="s">
        <v>15</v>
      </c>
      <c r="E65" s="6">
        <v>684200</v>
      </c>
      <c r="F65" s="7">
        <v>118.02</v>
      </c>
      <c r="G65" s="8">
        <v>5.9999999999999995E-4</v>
      </c>
      <c r="H65" s="9"/>
      <c r="I65" s="33"/>
    </row>
    <row r="66" spans="1:9" ht="12.95" customHeight="1" x14ac:dyDescent="0.2">
      <c r="A66" s="5" t="s">
        <v>785</v>
      </c>
      <c r="B66" s="32" t="s">
        <v>786</v>
      </c>
      <c r="C66" s="4" t="s">
        <v>787</v>
      </c>
      <c r="D66" s="4" t="s">
        <v>156</v>
      </c>
      <c r="E66" s="6">
        <v>6875</v>
      </c>
      <c r="F66" s="7">
        <v>101.15</v>
      </c>
      <c r="G66" s="8">
        <v>5.0000000000000001E-4</v>
      </c>
      <c r="H66" s="9"/>
      <c r="I66" s="33"/>
    </row>
    <row r="67" spans="1:9" ht="12.95" customHeight="1" x14ac:dyDescent="0.2">
      <c r="A67" s="5" t="s">
        <v>788</v>
      </c>
      <c r="B67" s="32" t="s">
        <v>789</v>
      </c>
      <c r="C67" s="4" t="s">
        <v>790</v>
      </c>
      <c r="D67" s="4" t="s">
        <v>791</v>
      </c>
      <c r="E67" s="6">
        <v>4500</v>
      </c>
      <c r="F67" s="7">
        <v>79.98</v>
      </c>
      <c r="G67" s="8">
        <v>4.0000000000000002E-4</v>
      </c>
      <c r="H67" s="9"/>
      <c r="I67" s="33"/>
    </row>
    <row r="68" spans="1:9" ht="12.95" customHeight="1" x14ac:dyDescent="0.2">
      <c r="A68" s="5" t="s">
        <v>141</v>
      </c>
      <c r="B68" s="32" t="s">
        <v>142</v>
      </c>
      <c r="C68" s="4" t="s">
        <v>143</v>
      </c>
      <c r="D68" s="4" t="s">
        <v>144</v>
      </c>
      <c r="E68" s="6">
        <v>8400</v>
      </c>
      <c r="F68" s="7">
        <v>74.290000000000006</v>
      </c>
      <c r="G68" s="8">
        <v>4.0000000000000002E-4</v>
      </c>
      <c r="H68" s="9"/>
      <c r="I68" s="33"/>
    </row>
    <row r="69" spans="1:9" ht="12.95" customHeight="1" x14ac:dyDescent="0.2">
      <c r="A69" s="5" t="s">
        <v>792</v>
      </c>
      <c r="B69" s="32" t="s">
        <v>793</v>
      </c>
      <c r="C69" s="4" t="s">
        <v>794</v>
      </c>
      <c r="D69" s="4" t="s">
        <v>741</v>
      </c>
      <c r="E69" s="6">
        <v>4800</v>
      </c>
      <c r="F69" s="7">
        <v>58.5</v>
      </c>
      <c r="G69" s="8">
        <v>2.9999999999999997E-4</v>
      </c>
      <c r="H69" s="9"/>
      <c r="I69" s="33"/>
    </row>
    <row r="70" spans="1:9" ht="12.95" customHeight="1" x14ac:dyDescent="0.2">
      <c r="A70" s="5" t="s">
        <v>795</v>
      </c>
      <c r="B70" s="32" t="s">
        <v>796</v>
      </c>
      <c r="C70" s="4" t="s">
        <v>797</v>
      </c>
      <c r="D70" s="4" t="s">
        <v>798</v>
      </c>
      <c r="E70" s="6">
        <v>10000</v>
      </c>
      <c r="F70" s="7">
        <v>41.05</v>
      </c>
      <c r="G70" s="8">
        <v>2.0000000000000001E-4</v>
      </c>
      <c r="H70" s="9"/>
      <c r="I70" s="33"/>
    </row>
    <row r="71" spans="1:9" ht="12.95" customHeight="1" x14ac:dyDescent="0.2">
      <c r="A71" s="5" t="s">
        <v>799</v>
      </c>
      <c r="B71" s="32" t="s">
        <v>800</v>
      </c>
      <c r="C71" s="4" t="s">
        <v>801</v>
      </c>
      <c r="D71" s="4" t="s">
        <v>45</v>
      </c>
      <c r="E71" s="6">
        <v>1925</v>
      </c>
      <c r="F71" s="7">
        <v>39.520000000000003</v>
      </c>
      <c r="G71" s="8">
        <v>2.0000000000000001E-4</v>
      </c>
      <c r="H71" s="9"/>
      <c r="I71" s="33"/>
    </row>
    <row r="72" spans="1:9" ht="12.95" customHeight="1" x14ac:dyDescent="0.2">
      <c r="A72" s="5" t="s">
        <v>802</v>
      </c>
      <c r="B72" s="32" t="s">
        <v>803</v>
      </c>
      <c r="C72" s="4" t="s">
        <v>804</v>
      </c>
      <c r="D72" s="4" t="s">
        <v>41</v>
      </c>
      <c r="E72" s="6">
        <v>11200</v>
      </c>
      <c r="F72" s="7">
        <v>33.17</v>
      </c>
      <c r="G72" s="8">
        <v>2.0000000000000001E-4</v>
      </c>
      <c r="H72" s="9"/>
      <c r="I72" s="33"/>
    </row>
    <row r="73" spans="1:9" ht="12.95" customHeight="1" x14ac:dyDescent="0.2">
      <c r="A73" s="5" t="s">
        <v>805</v>
      </c>
      <c r="B73" s="32" t="s">
        <v>806</v>
      </c>
      <c r="C73" s="4" t="s">
        <v>807</v>
      </c>
      <c r="D73" s="4" t="s">
        <v>653</v>
      </c>
      <c r="E73" s="6">
        <v>2500</v>
      </c>
      <c r="F73" s="7">
        <v>27.83</v>
      </c>
      <c r="G73" s="8">
        <v>1E-4</v>
      </c>
      <c r="H73" s="9"/>
      <c r="I73" s="33"/>
    </row>
    <row r="74" spans="1:9" ht="12.95" customHeight="1" x14ac:dyDescent="0.2">
      <c r="A74" s="5" t="s">
        <v>808</v>
      </c>
      <c r="B74" s="32" t="s">
        <v>809</v>
      </c>
      <c r="C74" s="4" t="s">
        <v>810</v>
      </c>
      <c r="D74" s="4" t="s">
        <v>65</v>
      </c>
      <c r="E74" s="6">
        <v>1700</v>
      </c>
      <c r="F74" s="7">
        <v>16.88</v>
      </c>
      <c r="G74" s="8">
        <v>1E-4</v>
      </c>
      <c r="H74" s="9"/>
      <c r="I74" s="33"/>
    </row>
    <row r="75" spans="1:9" ht="12.95" customHeight="1" x14ac:dyDescent="0.2">
      <c r="A75" s="5" t="s">
        <v>811</v>
      </c>
      <c r="B75" s="32" t="s">
        <v>812</v>
      </c>
      <c r="C75" s="4" t="s">
        <v>813</v>
      </c>
      <c r="D75" s="4" t="s">
        <v>65</v>
      </c>
      <c r="E75" s="6">
        <v>750</v>
      </c>
      <c r="F75" s="7">
        <v>15.99</v>
      </c>
      <c r="G75" s="8">
        <v>1E-4</v>
      </c>
      <c r="H75" s="9"/>
      <c r="I75" s="33"/>
    </row>
    <row r="76" spans="1:9" ht="12.95" customHeight="1" x14ac:dyDescent="0.2">
      <c r="A76" s="5" t="s">
        <v>814</v>
      </c>
      <c r="B76" s="32" t="s">
        <v>815</v>
      </c>
      <c r="C76" s="4" t="s">
        <v>816</v>
      </c>
      <c r="D76" s="4" t="s">
        <v>34</v>
      </c>
      <c r="E76" s="6">
        <v>625</v>
      </c>
      <c r="F76" s="7">
        <v>8.4700000000000006</v>
      </c>
      <c r="G76" s="8" t="s">
        <v>1256</v>
      </c>
      <c r="H76" s="9"/>
      <c r="I76" s="33"/>
    </row>
    <row r="77" spans="1:9" ht="12.95" customHeight="1" x14ac:dyDescent="0.2">
      <c r="A77" s="5" t="s">
        <v>817</v>
      </c>
      <c r="B77" s="32" t="s">
        <v>818</v>
      </c>
      <c r="C77" s="4" t="s">
        <v>819</v>
      </c>
      <c r="D77" s="4" t="s">
        <v>75</v>
      </c>
      <c r="E77" s="6">
        <v>500</v>
      </c>
      <c r="F77" s="7">
        <v>5.87</v>
      </c>
      <c r="G77" s="8" t="s">
        <v>1256</v>
      </c>
      <c r="H77" s="9"/>
      <c r="I77" s="33"/>
    </row>
    <row r="78" spans="1:9" ht="12.95" customHeight="1" x14ac:dyDescent="0.2">
      <c r="A78" s="5" t="s">
        <v>820</v>
      </c>
      <c r="B78" s="32" t="s">
        <v>821</v>
      </c>
      <c r="C78" s="4" t="s">
        <v>822</v>
      </c>
      <c r="D78" s="4" t="s">
        <v>156</v>
      </c>
      <c r="E78" s="6">
        <v>350</v>
      </c>
      <c r="F78" s="7">
        <v>5.27</v>
      </c>
      <c r="G78" s="8" t="s">
        <v>1256</v>
      </c>
      <c r="H78" s="9"/>
      <c r="I78" s="33"/>
    </row>
    <row r="79" spans="1:9" ht="12.95" customHeight="1" x14ac:dyDescent="0.2">
      <c r="A79" s="46"/>
      <c r="B79" s="34" t="s">
        <v>165</v>
      </c>
      <c r="C79" s="13"/>
      <c r="D79" s="1"/>
      <c r="E79" s="13"/>
      <c r="F79" s="10">
        <v>135462.45000000001</v>
      </c>
      <c r="G79" s="11">
        <v>0.65790000000000004</v>
      </c>
      <c r="H79" s="12"/>
      <c r="I79" s="35"/>
    </row>
    <row r="80" spans="1:9" ht="12.95" customHeight="1" x14ac:dyDescent="0.2">
      <c r="A80" s="46"/>
      <c r="B80" s="31" t="s">
        <v>194</v>
      </c>
      <c r="C80" s="4"/>
      <c r="D80" s="4"/>
      <c r="E80" s="4"/>
      <c r="F80" s="4"/>
      <c r="G80" s="4"/>
      <c r="H80" s="49"/>
      <c r="I80" s="50"/>
    </row>
    <row r="81" spans="1:9" ht="12.95" customHeight="1" x14ac:dyDescent="0.2">
      <c r="A81" s="46"/>
      <c r="B81" s="31" t="s">
        <v>195</v>
      </c>
      <c r="C81" s="4"/>
      <c r="D81" s="4"/>
      <c r="E81" s="4"/>
      <c r="F81" s="51"/>
      <c r="G81" s="49"/>
      <c r="H81" s="49"/>
      <c r="I81" s="50"/>
    </row>
    <row r="82" spans="1:9" ht="12.95" customHeight="1" x14ac:dyDescent="0.2">
      <c r="A82" s="5" t="s">
        <v>273</v>
      </c>
      <c r="B82" s="32" t="s">
        <v>1224</v>
      </c>
      <c r="C82" s="4" t="s">
        <v>274</v>
      </c>
      <c r="D82" s="4" t="s">
        <v>252</v>
      </c>
      <c r="E82" s="6">
        <v>1000</v>
      </c>
      <c r="F82" s="7">
        <v>4901.88</v>
      </c>
      <c r="G82" s="8">
        <v>2.3800000000000002E-2</v>
      </c>
      <c r="H82" s="14">
        <v>7.3799000000000003E-2</v>
      </c>
      <c r="I82" s="33"/>
    </row>
    <row r="83" spans="1:9" ht="12.95" customHeight="1" x14ac:dyDescent="0.2">
      <c r="A83" s="5" t="s">
        <v>199</v>
      </c>
      <c r="B83" s="32" t="s">
        <v>1194</v>
      </c>
      <c r="C83" s="4" t="s">
        <v>200</v>
      </c>
      <c r="D83" s="4" t="s">
        <v>198</v>
      </c>
      <c r="E83" s="6">
        <v>1000</v>
      </c>
      <c r="F83" s="7">
        <v>4870.54</v>
      </c>
      <c r="G83" s="8">
        <v>2.3699999999999999E-2</v>
      </c>
      <c r="H83" s="14">
        <v>7.3499999999999996E-2</v>
      </c>
      <c r="I83" s="33"/>
    </row>
    <row r="84" spans="1:9" ht="12.95" customHeight="1" x14ac:dyDescent="0.2">
      <c r="A84" s="5" t="s">
        <v>956</v>
      </c>
      <c r="B84" s="32" t="s">
        <v>1273</v>
      </c>
      <c r="C84" s="4" t="s">
        <v>957</v>
      </c>
      <c r="D84" s="4" t="s">
        <v>198</v>
      </c>
      <c r="E84" s="6">
        <v>1000</v>
      </c>
      <c r="F84" s="7">
        <v>4736.53</v>
      </c>
      <c r="G84" s="8">
        <v>2.3E-2</v>
      </c>
      <c r="H84" s="14">
        <v>7.1998999999999994E-2</v>
      </c>
      <c r="I84" s="33"/>
    </row>
    <row r="85" spans="1:9" ht="12.95" customHeight="1" x14ac:dyDescent="0.2">
      <c r="A85" s="5" t="s">
        <v>958</v>
      </c>
      <c r="B85" s="32" t="s">
        <v>1274</v>
      </c>
      <c r="C85" s="4" t="s">
        <v>959</v>
      </c>
      <c r="D85" s="4" t="s">
        <v>198</v>
      </c>
      <c r="E85" s="6">
        <v>1000</v>
      </c>
      <c r="F85" s="7">
        <v>4729.4799999999996</v>
      </c>
      <c r="G85" s="8">
        <v>2.3E-2</v>
      </c>
      <c r="H85" s="14">
        <v>7.2999999999999995E-2</v>
      </c>
      <c r="I85" s="33"/>
    </row>
    <row r="86" spans="1:9" ht="12.95" customHeight="1" x14ac:dyDescent="0.2">
      <c r="A86" s="5" t="s">
        <v>960</v>
      </c>
      <c r="B86" s="32" t="s">
        <v>1414</v>
      </c>
      <c r="C86" s="4" t="s">
        <v>961</v>
      </c>
      <c r="D86" s="4" t="s">
        <v>252</v>
      </c>
      <c r="E86" s="6">
        <v>500</v>
      </c>
      <c r="F86" s="7">
        <v>2467.67</v>
      </c>
      <c r="G86" s="8">
        <v>1.2E-2</v>
      </c>
      <c r="H86" s="14">
        <v>7.5898999999999994E-2</v>
      </c>
      <c r="I86" s="33"/>
    </row>
    <row r="87" spans="1:9" ht="12.95" customHeight="1" x14ac:dyDescent="0.2">
      <c r="A87" s="5" t="s">
        <v>962</v>
      </c>
      <c r="B87" s="32" t="s">
        <v>1415</v>
      </c>
      <c r="C87" s="4" t="s">
        <v>963</v>
      </c>
      <c r="D87" s="4" t="s">
        <v>198</v>
      </c>
      <c r="E87" s="6">
        <v>500</v>
      </c>
      <c r="F87" s="7">
        <v>2420.7600000000002</v>
      </c>
      <c r="G87" s="8">
        <v>1.18E-2</v>
      </c>
      <c r="H87" s="14">
        <v>7.3300000000000004E-2</v>
      </c>
      <c r="I87" s="33"/>
    </row>
    <row r="88" spans="1:9" ht="12.95" customHeight="1" x14ac:dyDescent="0.2">
      <c r="A88" s="5" t="s">
        <v>263</v>
      </c>
      <c r="B88" s="32" t="s">
        <v>1219</v>
      </c>
      <c r="C88" s="4" t="s">
        <v>264</v>
      </c>
      <c r="D88" s="4" t="s">
        <v>1257</v>
      </c>
      <c r="E88" s="6">
        <v>500</v>
      </c>
      <c r="F88" s="7">
        <v>2386.48</v>
      </c>
      <c r="G88" s="8">
        <v>1.1599999999999999E-2</v>
      </c>
      <c r="H88" s="14">
        <v>7.2950000000000001E-2</v>
      </c>
      <c r="I88" s="33"/>
    </row>
    <row r="89" spans="1:9" ht="12.95" customHeight="1" x14ac:dyDescent="0.2">
      <c r="A89" s="46"/>
      <c r="B89" s="34" t="s">
        <v>128</v>
      </c>
      <c r="C89" s="1"/>
      <c r="D89" s="1"/>
      <c r="E89" s="1"/>
      <c r="F89" s="10">
        <v>26513.34</v>
      </c>
      <c r="G89" s="11">
        <v>0.12889999999999999</v>
      </c>
      <c r="H89" s="12"/>
      <c r="I89" s="35"/>
    </row>
    <row r="90" spans="1:9" ht="12.95" customHeight="1" x14ac:dyDescent="0.2">
      <c r="A90" s="46"/>
      <c r="B90" s="31" t="s">
        <v>301</v>
      </c>
      <c r="C90" s="4"/>
      <c r="D90" s="4"/>
      <c r="E90" s="4"/>
      <c r="F90" s="51"/>
      <c r="G90" s="49"/>
      <c r="H90" s="49"/>
      <c r="I90" s="50"/>
    </row>
    <row r="91" spans="1:9" ht="12.95" customHeight="1" x14ac:dyDescent="0.2">
      <c r="A91" s="5" t="s">
        <v>964</v>
      </c>
      <c r="B91" s="32" t="s">
        <v>1284</v>
      </c>
      <c r="C91" s="4" t="s">
        <v>965</v>
      </c>
      <c r="D91" s="4" t="s">
        <v>198</v>
      </c>
      <c r="E91" s="6">
        <v>1000</v>
      </c>
      <c r="F91" s="7">
        <v>4936.57</v>
      </c>
      <c r="G91" s="8">
        <v>2.4E-2</v>
      </c>
      <c r="H91" s="14">
        <v>8.3751000000000006E-2</v>
      </c>
      <c r="I91" s="33"/>
    </row>
    <row r="92" spans="1:9" ht="12.95" customHeight="1" x14ac:dyDescent="0.2">
      <c r="A92" s="5" t="s">
        <v>316</v>
      </c>
      <c r="B92" s="32" t="s">
        <v>1241</v>
      </c>
      <c r="C92" s="4" t="s">
        <v>317</v>
      </c>
      <c r="D92" s="4" t="s">
        <v>252</v>
      </c>
      <c r="E92" s="6">
        <v>500</v>
      </c>
      <c r="F92" s="7">
        <v>2475.0100000000002</v>
      </c>
      <c r="G92" s="8">
        <v>1.2E-2</v>
      </c>
      <c r="H92" s="14">
        <v>8.3750000000000005E-2</v>
      </c>
      <c r="I92" s="33"/>
    </row>
    <row r="93" spans="1:9" ht="12.95" customHeight="1" x14ac:dyDescent="0.2">
      <c r="A93" s="5" t="s">
        <v>310</v>
      </c>
      <c r="B93" s="32" t="s">
        <v>1238</v>
      </c>
      <c r="C93" s="4" t="s">
        <v>311</v>
      </c>
      <c r="D93" s="4" t="s">
        <v>198</v>
      </c>
      <c r="E93" s="6">
        <v>500</v>
      </c>
      <c r="F93" s="7">
        <v>2460.44</v>
      </c>
      <c r="G93" s="8">
        <v>1.1900000000000001E-2</v>
      </c>
      <c r="H93" s="14">
        <v>7.8247999999999998E-2</v>
      </c>
      <c r="I93" s="33"/>
    </row>
    <row r="94" spans="1:9" ht="12.95" customHeight="1" x14ac:dyDescent="0.2">
      <c r="A94" s="5" t="s">
        <v>304</v>
      </c>
      <c r="B94" s="32" t="s">
        <v>1235</v>
      </c>
      <c r="C94" s="4" t="s">
        <v>305</v>
      </c>
      <c r="D94" s="4" t="s">
        <v>198</v>
      </c>
      <c r="E94" s="6">
        <v>500</v>
      </c>
      <c r="F94" s="7">
        <v>2459.66</v>
      </c>
      <c r="G94" s="8">
        <v>1.1900000000000001E-2</v>
      </c>
      <c r="H94" s="14">
        <v>7.6748999999999998E-2</v>
      </c>
      <c r="I94" s="33"/>
    </row>
    <row r="95" spans="1:9" ht="12.95" customHeight="1" x14ac:dyDescent="0.2">
      <c r="A95" s="5" t="s">
        <v>302</v>
      </c>
      <c r="B95" s="32" t="s">
        <v>1234</v>
      </c>
      <c r="C95" s="4" t="s">
        <v>303</v>
      </c>
      <c r="D95" s="4" t="s">
        <v>198</v>
      </c>
      <c r="E95" s="6">
        <v>500</v>
      </c>
      <c r="F95" s="7">
        <v>2456.64</v>
      </c>
      <c r="G95" s="8">
        <v>1.1900000000000001E-2</v>
      </c>
      <c r="H95" s="14">
        <v>7.5800999999999993E-2</v>
      </c>
      <c r="I95" s="33"/>
    </row>
    <row r="96" spans="1:9" ht="12.95" customHeight="1" x14ac:dyDescent="0.2">
      <c r="A96" s="46"/>
      <c r="B96" s="34" t="s">
        <v>128</v>
      </c>
      <c r="C96" s="1"/>
      <c r="D96" s="1"/>
      <c r="E96" s="1"/>
      <c r="F96" s="10">
        <v>14788.32</v>
      </c>
      <c r="G96" s="11">
        <v>7.17E-2</v>
      </c>
      <c r="H96" s="12"/>
      <c r="I96" s="35"/>
    </row>
    <row r="97" spans="1:9" ht="12.95" customHeight="1" x14ac:dyDescent="0.2">
      <c r="A97" s="46"/>
      <c r="B97" s="31" t="s">
        <v>328</v>
      </c>
      <c r="C97" s="4"/>
      <c r="D97" s="4"/>
      <c r="E97" s="4"/>
      <c r="F97" s="51"/>
      <c r="G97" s="49"/>
      <c r="H97" s="49"/>
      <c r="I97" s="50"/>
    </row>
    <row r="98" spans="1:9" ht="12.95" customHeight="1" x14ac:dyDescent="0.2">
      <c r="A98" s="5" t="s">
        <v>333</v>
      </c>
      <c r="B98" s="32" t="s">
        <v>334</v>
      </c>
      <c r="C98" s="4" t="s">
        <v>335</v>
      </c>
      <c r="D98" s="4" t="s">
        <v>332</v>
      </c>
      <c r="E98" s="6">
        <v>1000000</v>
      </c>
      <c r="F98" s="7">
        <v>956.82</v>
      </c>
      <c r="G98" s="8">
        <v>4.5999999999999999E-3</v>
      </c>
      <c r="H98" s="14">
        <v>5.7000000000000002E-2</v>
      </c>
      <c r="I98" s="33"/>
    </row>
    <row r="99" spans="1:9" ht="12.95" customHeight="1" x14ac:dyDescent="0.2">
      <c r="A99" s="46"/>
      <c r="B99" s="34" t="s">
        <v>128</v>
      </c>
      <c r="C99" s="1"/>
      <c r="D99" s="1"/>
      <c r="E99" s="1"/>
      <c r="F99" s="10">
        <v>956.82</v>
      </c>
      <c r="G99" s="11">
        <v>4.5999999999999999E-3</v>
      </c>
      <c r="H99" s="12"/>
      <c r="I99" s="35"/>
    </row>
    <row r="100" spans="1:9" ht="12.95" customHeight="1" x14ac:dyDescent="0.2">
      <c r="A100" s="46"/>
      <c r="B100" s="34" t="s">
        <v>165</v>
      </c>
      <c r="C100" s="13"/>
      <c r="D100" s="1"/>
      <c r="E100" s="13"/>
      <c r="F100" s="10">
        <v>42258.48</v>
      </c>
      <c r="G100" s="11">
        <v>0.20519999999999999</v>
      </c>
      <c r="H100" s="12"/>
      <c r="I100" s="35"/>
    </row>
    <row r="101" spans="1:9" ht="12.95" customHeight="1" x14ac:dyDescent="0.2">
      <c r="A101" s="46"/>
      <c r="B101" s="31" t="s">
        <v>342</v>
      </c>
      <c r="C101" s="4"/>
      <c r="D101" s="4"/>
      <c r="E101" s="4"/>
      <c r="F101" s="4"/>
      <c r="G101" s="4"/>
      <c r="H101" s="49"/>
      <c r="I101" s="50"/>
    </row>
    <row r="102" spans="1:9" ht="12.95" customHeight="1" x14ac:dyDescent="0.2">
      <c r="A102" s="46"/>
      <c r="B102" s="31" t="s">
        <v>343</v>
      </c>
      <c r="C102" s="4"/>
      <c r="D102" s="4"/>
      <c r="E102" s="4"/>
      <c r="F102" s="51"/>
      <c r="G102" s="49"/>
      <c r="H102" s="49"/>
      <c r="I102" s="50"/>
    </row>
    <row r="103" spans="1:9" ht="12.95" customHeight="1" x14ac:dyDescent="0.2">
      <c r="A103" s="5" t="s">
        <v>344</v>
      </c>
      <c r="B103" s="32" t="s">
        <v>345</v>
      </c>
      <c r="C103" s="4" t="s">
        <v>346</v>
      </c>
      <c r="D103" s="4" t="s">
        <v>183</v>
      </c>
      <c r="E103" s="6">
        <v>1700924.4920999999</v>
      </c>
      <c r="F103" s="7">
        <v>25912.880000000001</v>
      </c>
      <c r="G103" s="8">
        <v>0.12590000000000001</v>
      </c>
      <c r="H103" s="14"/>
      <c r="I103" s="33"/>
    </row>
    <row r="104" spans="1:9" ht="12.95" customHeight="1" x14ac:dyDescent="0.2">
      <c r="A104" s="46"/>
      <c r="B104" s="34" t="s">
        <v>128</v>
      </c>
      <c r="C104" s="1"/>
      <c r="D104" s="1"/>
      <c r="E104" s="1"/>
      <c r="F104" s="10">
        <v>25912.880000000001</v>
      </c>
      <c r="G104" s="11">
        <v>0.12590000000000001</v>
      </c>
      <c r="H104" s="12"/>
      <c r="I104" s="35"/>
    </row>
    <row r="105" spans="1:9" ht="12.95" customHeight="1" x14ac:dyDescent="0.2">
      <c r="A105" s="46"/>
      <c r="B105" s="34" t="s">
        <v>165</v>
      </c>
      <c r="C105" s="13"/>
      <c r="D105" s="1"/>
      <c r="E105" s="13"/>
      <c r="F105" s="10">
        <v>25912.880000000001</v>
      </c>
      <c r="G105" s="11">
        <v>0.12590000000000001</v>
      </c>
      <c r="H105" s="12"/>
      <c r="I105" s="35"/>
    </row>
    <row r="106" spans="1:9" ht="12.95" customHeight="1" x14ac:dyDescent="0.2">
      <c r="A106" s="46"/>
      <c r="B106" s="31" t="s">
        <v>347</v>
      </c>
      <c r="C106" s="4"/>
      <c r="D106" s="4"/>
      <c r="E106" s="4"/>
      <c r="F106" s="4"/>
      <c r="G106" s="4"/>
      <c r="H106" s="49"/>
      <c r="I106" s="50"/>
    </row>
    <row r="107" spans="1:9" ht="12.95" customHeight="1" x14ac:dyDescent="0.2">
      <c r="A107" s="5" t="s">
        <v>348</v>
      </c>
      <c r="B107" s="32" t="s">
        <v>348</v>
      </c>
      <c r="C107" s="4"/>
      <c r="D107" s="4" t="s">
        <v>183</v>
      </c>
      <c r="E107" s="6"/>
      <c r="F107" s="7">
        <v>54.99</v>
      </c>
      <c r="G107" s="8">
        <v>2.9999999999999997E-4</v>
      </c>
      <c r="H107" s="14">
        <v>4.9985962382341785E-2</v>
      </c>
      <c r="I107" s="33"/>
    </row>
    <row r="108" spans="1:9" ht="12.95" customHeight="1" x14ac:dyDescent="0.2">
      <c r="A108" s="46"/>
      <c r="B108" s="34" t="s">
        <v>128</v>
      </c>
      <c r="C108" s="1"/>
      <c r="D108" s="1"/>
      <c r="E108" s="1"/>
      <c r="F108" s="10">
        <v>54.99</v>
      </c>
      <c r="G108" s="11">
        <v>2.9999999999999997E-4</v>
      </c>
      <c r="H108" s="12"/>
      <c r="I108" s="35"/>
    </row>
    <row r="109" spans="1:9" ht="12.95" customHeight="1" x14ac:dyDescent="0.2">
      <c r="A109" s="46"/>
      <c r="B109" s="34" t="s">
        <v>165</v>
      </c>
      <c r="C109" s="13"/>
      <c r="D109" s="1"/>
      <c r="E109" s="13"/>
      <c r="F109" s="10">
        <v>54.99</v>
      </c>
      <c r="G109" s="11">
        <v>2.9999999999999997E-4</v>
      </c>
      <c r="H109" s="12"/>
      <c r="I109" s="35"/>
    </row>
    <row r="110" spans="1:9" ht="12.95" customHeight="1" x14ac:dyDescent="0.2">
      <c r="A110" s="46"/>
      <c r="B110" s="34" t="s">
        <v>350</v>
      </c>
      <c r="C110" s="4"/>
      <c r="D110" s="1"/>
      <c r="E110" s="4"/>
      <c r="F110" s="15">
        <f>138260.11+E188</f>
        <v>2213.0599999999977</v>
      </c>
      <c r="G110" s="11">
        <f>67.16%+F188</f>
        <v>1.0699999999999932E-2</v>
      </c>
      <c r="H110" s="12"/>
      <c r="I110" s="35"/>
    </row>
    <row r="111" spans="1:9" ht="12.95" customHeight="1" x14ac:dyDescent="0.2">
      <c r="A111" s="46"/>
      <c r="B111" s="36" t="s">
        <v>351</v>
      </c>
      <c r="C111" s="23"/>
      <c r="D111" s="23"/>
      <c r="E111" s="23"/>
      <c r="F111" s="24">
        <v>205901.86</v>
      </c>
      <c r="G111" s="25">
        <v>1</v>
      </c>
      <c r="H111" s="26"/>
      <c r="I111" s="37"/>
    </row>
    <row r="112" spans="1:9" ht="12.95" customHeight="1" x14ac:dyDescent="0.2">
      <c r="A112" s="46"/>
      <c r="B112" s="3"/>
      <c r="C112" s="46"/>
      <c r="D112" s="46"/>
      <c r="E112" s="46"/>
      <c r="F112" s="46"/>
      <c r="G112" s="46"/>
      <c r="H112" s="46"/>
      <c r="I112" s="46"/>
    </row>
    <row r="113" spans="1:8" ht="12.95" customHeight="1" x14ac:dyDescent="0.2">
      <c r="A113" s="46"/>
      <c r="B113" s="39" t="s">
        <v>179</v>
      </c>
      <c r="C113" s="38"/>
      <c r="D113" s="38"/>
      <c r="E113" s="38"/>
      <c r="F113" s="38"/>
      <c r="G113" s="52"/>
      <c r="H113" s="46"/>
    </row>
    <row r="114" spans="1:8" ht="24.75" customHeight="1" x14ac:dyDescent="0.2">
      <c r="A114" s="46"/>
      <c r="B114" s="55" t="s">
        <v>2</v>
      </c>
      <c r="C114" s="56" t="s">
        <v>1247</v>
      </c>
      <c r="D114" s="56" t="s">
        <v>5</v>
      </c>
      <c r="E114" s="56" t="s">
        <v>1248</v>
      </c>
      <c r="F114" s="56" t="s">
        <v>1249</v>
      </c>
      <c r="G114" s="57" t="s">
        <v>1250</v>
      </c>
      <c r="H114" s="46"/>
    </row>
    <row r="115" spans="1:8" ht="12.95" customHeight="1" x14ac:dyDescent="0.2">
      <c r="A115" s="46"/>
      <c r="B115" s="40" t="s">
        <v>180</v>
      </c>
      <c r="C115" s="41"/>
      <c r="D115" s="41"/>
      <c r="E115" s="54"/>
      <c r="F115" s="53"/>
      <c r="G115" s="53"/>
      <c r="H115" s="46"/>
    </row>
    <row r="116" spans="1:8" ht="12.95" customHeight="1" x14ac:dyDescent="0.2">
      <c r="A116" s="5" t="s">
        <v>824</v>
      </c>
      <c r="B116" s="42" t="s">
        <v>955</v>
      </c>
      <c r="C116" s="4" t="s">
        <v>1251</v>
      </c>
      <c r="D116" s="7">
        <v>-1875500</v>
      </c>
      <c r="E116" s="7">
        <v>-13801.8</v>
      </c>
      <c r="F116" s="8">
        <v>-6.7000000000000004E-2</v>
      </c>
      <c r="G116" s="9"/>
      <c r="H116" s="46"/>
    </row>
    <row r="117" spans="1:8" ht="12.95" customHeight="1" x14ac:dyDescent="0.2">
      <c r="A117" s="5" t="s">
        <v>826</v>
      </c>
      <c r="B117" s="32" t="s">
        <v>953</v>
      </c>
      <c r="C117" s="4" t="s">
        <v>1251</v>
      </c>
      <c r="D117" s="7">
        <v>-812000</v>
      </c>
      <c r="E117" s="7">
        <v>-9839.82</v>
      </c>
      <c r="F117" s="8">
        <v>-4.7800000000000002E-2</v>
      </c>
      <c r="G117" s="9"/>
      <c r="H117" s="46"/>
    </row>
    <row r="118" spans="1:8" ht="12.95" customHeight="1" x14ac:dyDescent="0.2">
      <c r="A118" s="5" t="s">
        <v>828</v>
      </c>
      <c r="B118" s="32" t="s">
        <v>465</v>
      </c>
      <c r="C118" s="4" t="s">
        <v>1251</v>
      </c>
      <c r="D118" s="7">
        <v>-478800</v>
      </c>
      <c r="E118" s="7">
        <v>-8572.91</v>
      </c>
      <c r="F118" s="8">
        <v>-4.1599999999999998E-2</v>
      </c>
      <c r="G118" s="9"/>
      <c r="H118" s="46"/>
    </row>
    <row r="119" spans="1:8" ht="12.95" customHeight="1" x14ac:dyDescent="0.2">
      <c r="A119" s="5" t="s">
        <v>830</v>
      </c>
      <c r="B119" s="32" t="s">
        <v>951</v>
      </c>
      <c r="C119" s="4" t="s">
        <v>1251</v>
      </c>
      <c r="D119" s="7">
        <v>-2404000</v>
      </c>
      <c r="E119" s="7">
        <v>-8523.3799999999992</v>
      </c>
      <c r="F119" s="8">
        <v>-4.1399999999999999E-2</v>
      </c>
      <c r="G119" s="9"/>
      <c r="H119" s="46"/>
    </row>
    <row r="120" spans="1:8" ht="12.95" customHeight="1" x14ac:dyDescent="0.2">
      <c r="A120" s="5" t="s">
        <v>832</v>
      </c>
      <c r="B120" s="32" t="s">
        <v>949</v>
      </c>
      <c r="C120" s="4" t="s">
        <v>1251</v>
      </c>
      <c r="D120" s="7">
        <v>-715000</v>
      </c>
      <c r="E120" s="7">
        <v>-8347.6299999999992</v>
      </c>
      <c r="F120" s="8">
        <v>-4.0500000000000001E-2</v>
      </c>
      <c r="G120" s="9"/>
      <c r="H120" s="46"/>
    </row>
    <row r="121" spans="1:8" ht="12.95" customHeight="1" x14ac:dyDescent="0.2">
      <c r="A121" s="5" t="s">
        <v>834</v>
      </c>
      <c r="B121" s="32" t="s">
        <v>193</v>
      </c>
      <c r="C121" s="4" t="s">
        <v>1251</v>
      </c>
      <c r="D121" s="7">
        <v>-584500</v>
      </c>
      <c r="E121" s="7">
        <v>-7886.66</v>
      </c>
      <c r="F121" s="8">
        <v>-3.8300000000000001E-2</v>
      </c>
      <c r="G121" s="9"/>
      <c r="H121" s="46"/>
    </row>
    <row r="122" spans="1:8" ht="12.95" customHeight="1" x14ac:dyDescent="0.2">
      <c r="A122" s="5" t="s">
        <v>836</v>
      </c>
      <c r="B122" s="32" t="s">
        <v>947</v>
      </c>
      <c r="C122" s="4" t="s">
        <v>1251</v>
      </c>
      <c r="D122" s="7">
        <v>-210800</v>
      </c>
      <c r="E122" s="7">
        <v>-6258.02</v>
      </c>
      <c r="F122" s="8">
        <v>-3.04E-2</v>
      </c>
      <c r="G122" s="9"/>
      <c r="H122" s="46"/>
    </row>
    <row r="123" spans="1:8" ht="12.95" customHeight="1" x14ac:dyDescent="0.2">
      <c r="A123" s="5" t="s">
        <v>838</v>
      </c>
      <c r="B123" s="32" t="s">
        <v>945</v>
      </c>
      <c r="C123" s="4" t="s">
        <v>1251</v>
      </c>
      <c r="D123" s="7">
        <v>-605250</v>
      </c>
      <c r="E123" s="7">
        <v>-5957.48</v>
      </c>
      <c r="F123" s="8">
        <v>-2.8899999999999999E-2</v>
      </c>
      <c r="G123" s="9"/>
      <c r="H123" s="46"/>
    </row>
    <row r="124" spans="1:8" ht="12.95" customHeight="1" x14ac:dyDescent="0.2">
      <c r="A124" s="5" t="s">
        <v>840</v>
      </c>
      <c r="B124" s="32" t="s">
        <v>943</v>
      </c>
      <c r="C124" s="4" t="s">
        <v>1251</v>
      </c>
      <c r="D124" s="7">
        <v>-2843500</v>
      </c>
      <c r="E124" s="7">
        <v>-5472.32</v>
      </c>
      <c r="F124" s="8">
        <v>-2.6599999999999999E-2</v>
      </c>
      <c r="G124" s="9"/>
      <c r="H124" s="46"/>
    </row>
    <row r="125" spans="1:8" ht="12.95" customHeight="1" x14ac:dyDescent="0.2">
      <c r="A125" s="5" t="s">
        <v>842</v>
      </c>
      <c r="B125" s="32" t="s">
        <v>941</v>
      </c>
      <c r="C125" s="4" t="s">
        <v>1251</v>
      </c>
      <c r="D125" s="7">
        <v>-1976625</v>
      </c>
      <c r="E125" s="7">
        <v>-4867.4399999999996</v>
      </c>
      <c r="F125" s="8">
        <v>-2.3599999999999999E-2</v>
      </c>
      <c r="G125" s="9"/>
      <c r="H125" s="46"/>
    </row>
    <row r="126" spans="1:8" ht="12.95" customHeight="1" x14ac:dyDescent="0.2">
      <c r="A126" s="5" t="s">
        <v>186</v>
      </c>
      <c r="B126" s="32" t="s">
        <v>939</v>
      </c>
      <c r="C126" s="4" t="s">
        <v>1251</v>
      </c>
      <c r="D126" s="7">
        <v>-5521500</v>
      </c>
      <c r="E126" s="7">
        <v>-4225.6000000000004</v>
      </c>
      <c r="F126" s="8">
        <v>-2.0500000000000001E-2</v>
      </c>
      <c r="G126" s="9"/>
      <c r="H126" s="46"/>
    </row>
    <row r="127" spans="1:8" ht="12.95" customHeight="1" x14ac:dyDescent="0.2">
      <c r="A127" s="5" t="s">
        <v>844</v>
      </c>
      <c r="B127" s="32" t="s">
        <v>937</v>
      </c>
      <c r="C127" s="4" t="s">
        <v>1251</v>
      </c>
      <c r="D127" s="7">
        <v>-397650</v>
      </c>
      <c r="E127" s="7">
        <v>-3481.43</v>
      </c>
      <c r="F127" s="8">
        <v>-1.6899999999999998E-2</v>
      </c>
      <c r="G127" s="9"/>
      <c r="H127" s="46"/>
    </row>
    <row r="128" spans="1:8" ht="12.95" customHeight="1" x14ac:dyDescent="0.2">
      <c r="A128" s="5" t="s">
        <v>846</v>
      </c>
      <c r="B128" s="32" t="s">
        <v>182</v>
      </c>
      <c r="C128" s="4" t="s">
        <v>1251</v>
      </c>
      <c r="D128" s="7">
        <v>-765225</v>
      </c>
      <c r="E128" s="7">
        <v>-3080.8</v>
      </c>
      <c r="F128" s="8">
        <v>-1.4999999999999999E-2</v>
      </c>
      <c r="G128" s="9"/>
      <c r="H128" s="46"/>
    </row>
    <row r="129" spans="1:8" ht="12.95" customHeight="1" x14ac:dyDescent="0.2">
      <c r="A129" s="5" t="s">
        <v>848</v>
      </c>
      <c r="B129" s="32" t="s">
        <v>931</v>
      </c>
      <c r="C129" s="4" t="s">
        <v>1251</v>
      </c>
      <c r="D129" s="7">
        <v>-3110850</v>
      </c>
      <c r="E129" s="7">
        <v>-2648.89</v>
      </c>
      <c r="F129" s="8">
        <v>-1.29E-2</v>
      </c>
      <c r="G129" s="9"/>
      <c r="H129" s="46"/>
    </row>
    <row r="130" spans="1:8" ht="12.95" customHeight="1" x14ac:dyDescent="0.2">
      <c r="A130" s="5" t="s">
        <v>850</v>
      </c>
      <c r="B130" s="32" t="s">
        <v>933</v>
      </c>
      <c r="C130" s="4" t="s">
        <v>1251</v>
      </c>
      <c r="D130" s="7">
        <v>-24650</v>
      </c>
      <c r="E130" s="7">
        <v>-2655.3</v>
      </c>
      <c r="F130" s="8">
        <v>-1.29E-2</v>
      </c>
      <c r="G130" s="9"/>
      <c r="H130" s="46"/>
    </row>
    <row r="131" spans="1:8" ht="12.95" customHeight="1" x14ac:dyDescent="0.2">
      <c r="A131" s="5" t="s">
        <v>852</v>
      </c>
      <c r="B131" s="32" t="s">
        <v>935</v>
      </c>
      <c r="C131" s="4" t="s">
        <v>1251</v>
      </c>
      <c r="D131" s="7">
        <v>-2632000</v>
      </c>
      <c r="E131" s="7">
        <v>-2657.79</v>
      </c>
      <c r="F131" s="8">
        <v>-1.29E-2</v>
      </c>
      <c r="G131" s="9"/>
      <c r="H131" s="46"/>
    </row>
    <row r="132" spans="1:8" ht="12.95" customHeight="1" x14ac:dyDescent="0.2">
      <c r="A132" s="5" t="s">
        <v>854</v>
      </c>
      <c r="B132" s="32" t="s">
        <v>929</v>
      </c>
      <c r="C132" s="4" t="s">
        <v>1251</v>
      </c>
      <c r="D132" s="7">
        <v>-4136650</v>
      </c>
      <c r="E132" s="7">
        <v>-2443.52</v>
      </c>
      <c r="F132" s="8">
        <v>-1.1900000000000001E-2</v>
      </c>
      <c r="G132" s="9"/>
      <c r="H132" s="46"/>
    </row>
    <row r="133" spans="1:8" ht="12.95" customHeight="1" x14ac:dyDescent="0.2">
      <c r="A133" s="5" t="s">
        <v>856</v>
      </c>
      <c r="B133" s="32" t="s">
        <v>927</v>
      </c>
      <c r="C133" s="4" t="s">
        <v>1251</v>
      </c>
      <c r="D133" s="7">
        <v>-933075</v>
      </c>
      <c r="E133" s="7">
        <v>-2321.96</v>
      </c>
      <c r="F133" s="8">
        <v>-1.1299999999999999E-2</v>
      </c>
      <c r="G133" s="9"/>
      <c r="H133" s="46"/>
    </row>
    <row r="134" spans="1:8" ht="12.95" customHeight="1" x14ac:dyDescent="0.2">
      <c r="A134" s="5" t="s">
        <v>858</v>
      </c>
      <c r="B134" s="32" t="s">
        <v>925</v>
      </c>
      <c r="C134" s="4" t="s">
        <v>1251</v>
      </c>
      <c r="D134" s="7">
        <v>-251250</v>
      </c>
      <c r="E134" s="7">
        <v>-2021.31</v>
      </c>
      <c r="F134" s="8">
        <v>-9.7999999999999997E-3</v>
      </c>
      <c r="G134" s="9"/>
      <c r="H134" s="46"/>
    </row>
    <row r="135" spans="1:8" ht="12.95" customHeight="1" x14ac:dyDescent="0.2">
      <c r="A135" s="5" t="s">
        <v>860</v>
      </c>
      <c r="B135" s="32" t="s">
        <v>923</v>
      </c>
      <c r="C135" s="4" t="s">
        <v>1251</v>
      </c>
      <c r="D135" s="7">
        <v>-81200</v>
      </c>
      <c r="E135" s="7">
        <v>-1917.62</v>
      </c>
      <c r="F135" s="8">
        <v>-9.2999999999999992E-3</v>
      </c>
      <c r="G135" s="9"/>
      <c r="H135" s="46"/>
    </row>
    <row r="136" spans="1:8" ht="12.95" customHeight="1" x14ac:dyDescent="0.2">
      <c r="A136" s="5" t="s">
        <v>862</v>
      </c>
      <c r="B136" s="32" t="s">
        <v>191</v>
      </c>
      <c r="C136" s="4" t="s">
        <v>1251</v>
      </c>
      <c r="D136" s="7">
        <v>-46375</v>
      </c>
      <c r="E136" s="7">
        <v>-1837.79</v>
      </c>
      <c r="F136" s="8">
        <v>-8.8999999999999999E-3</v>
      </c>
      <c r="G136" s="9"/>
      <c r="H136" s="46"/>
    </row>
    <row r="137" spans="1:8" ht="12.95" customHeight="1" x14ac:dyDescent="0.2">
      <c r="A137" s="5" t="s">
        <v>864</v>
      </c>
      <c r="B137" s="32" t="s">
        <v>921</v>
      </c>
      <c r="C137" s="4" t="s">
        <v>1251</v>
      </c>
      <c r="D137" s="7">
        <v>-51750</v>
      </c>
      <c r="E137" s="7">
        <v>-1811.51</v>
      </c>
      <c r="F137" s="8">
        <v>-8.8000000000000005E-3</v>
      </c>
      <c r="G137" s="9"/>
      <c r="H137" s="46"/>
    </row>
    <row r="138" spans="1:8" ht="12.95" customHeight="1" x14ac:dyDescent="0.2">
      <c r="A138" s="5" t="s">
        <v>866</v>
      </c>
      <c r="B138" s="32" t="s">
        <v>919</v>
      </c>
      <c r="C138" s="4" t="s">
        <v>1251</v>
      </c>
      <c r="D138" s="7">
        <v>-26300</v>
      </c>
      <c r="E138" s="7">
        <v>-1740.93</v>
      </c>
      <c r="F138" s="8">
        <v>-8.5000000000000006E-3</v>
      </c>
      <c r="G138" s="9"/>
      <c r="H138" s="46"/>
    </row>
    <row r="139" spans="1:8" ht="12.95" customHeight="1" x14ac:dyDescent="0.2">
      <c r="A139" s="5" t="s">
        <v>868</v>
      </c>
      <c r="B139" s="32" t="s">
        <v>917</v>
      </c>
      <c r="C139" s="4" t="s">
        <v>1251</v>
      </c>
      <c r="D139" s="7">
        <v>-339900</v>
      </c>
      <c r="E139" s="7">
        <v>-1718.53</v>
      </c>
      <c r="F139" s="8">
        <v>-8.3000000000000001E-3</v>
      </c>
      <c r="G139" s="9"/>
      <c r="H139" s="46"/>
    </row>
    <row r="140" spans="1:8" ht="12.95" customHeight="1" x14ac:dyDescent="0.2">
      <c r="A140" s="5" t="s">
        <v>870</v>
      </c>
      <c r="B140" s="32" t="s">
        <v>913</v>
      </c>
      <c r="C140" s="4" t="s">
        <v>1251</v>
      </c>
      <c r="D140" s="7">
        <v>-416150</v>
      </c>
      <c r="E140" s="7">
        <v>-1584.07</v>
      </c>
      <c r="F140" s="8">
        <v>-7.7000000000000002E-3</v>
      </c>
      <c r="G140" s="9"/>
      <c r="H140" s="46"/>
    </row>
    <row r="141" spans="1:8" ht="12.95" customHeight="1" x14ac:dyDescent="0.2">
      <c r="A141" s="5" t="s">
        <v>872</v>
      </c>
      <c r="B141" s="32" t="s">
        <v>915</v>
      </c>
      <c r="C141" s="4" t="s">
        <v>1251</v>
      </c>
      <c r="D141" s="7">
        <v>-1116000</v>
      </c>
      <c r="E141" s="7">
        <v>-1585.84</v>
      </c>
      <c r="F141" s="8">
        <v>-7.7000000000000002E-3</v>
      </c>
      <c r="G141" s="9"/>
      <c r="H141" s="46"/>
    </row>
    <row r="142" spans="1:8" ht="12.95" customHeight="1" x14ac:dyDescent="0.2">
      <c r="A142" s="5" t="s">
        <v>188</v>
      </c>
      <c r="B142" s="32" t="s">
        <v>911</v>
      </c>
      <c r="C142" s="4" t="s">
        <v>1251</v>
      </c>
      <c r="D142" s="7">
        <v>-555325</v>
      </c>
      <c r="E142" s="7">
        <v>-1275.25</v>
      </c>
      <c r="F142" s="8">
        <v>-6.1999999999999998E-3</v>
      </c>
      <c r="G142" s="9"/>
      <c r="H142" s="46"/>
    </row>
    <row r="143" spans="1:8" ht="12.95" customHeight="1" x14ac:dyDescent="0.2">
      <c r="A143" s="5" t="s">
        <v>874</v>
      </c>
      <c r="B143" s="32" t="s">
        <v>907</v>
      </c>
      <c r="C143" s="4" t="s">
        <v>1251</v>
      </c>
      <c r="D143" s="7">
        <v>-19500</v>
      </c>
      <c r="E143" s="7">
        <v>-1062.75</v>
      </c>
      <c r="F143" s="8">
        <v>-5.1999999999999998E-3</v>
      </c>
      <c r="G143" s="9"/>
      <c r="H143" s="46"/>
    </row>
    <row r="144" spans="1:8" ht="12.95" customHeight="1" x14ac:dyDescent="0.2">
      <c r="A144" s="5" t="s">
        <v>876</v>
      </c>
      <c r="B144" s="32" t="s">
        <v>909</v>
      </c>
      <c r="C144" s="4" t="s">
        <v>1251</v>
      </c>
      <c r="D144" s="7">
        <v>-479400</v>
      </c>
      <c r="E144" s="7">
        <v>-1076.97</v>
      </c>
      <c r="F144" s="8">
        <v>-5.1999999999999998E-3</v>
      </c>
      <c r="G144" s="9"/>
      <c r="H144" s="46"/>
    </row>
    <row r="145" spans="1:8" ht="12.95" customHeight="1" x14ac:dyDescent="0.2">
      <c r="A145" s="5" t="s">
        <v>878</v>
      </c>
      <c r="B145" s="32" t="s">
        <v>905</v>
      </c>
      <c r="C145" s="4" t="s">
        <v>1251</v>
      </c>
      <c r="D145" s="7">
        <v>-40750</v>
      </c>
      <c r="E145" s="7">
        <v>-1044.26</v>
      </c>
      <c r="F145" s="8">
        <v>-5.1000000000000004E-3</v>
      </c>
      <c r="G145" s="9"/>
      <c r="H145" s="46"/>
    </row>
    <row r="146" spans="1:8" ht="12.95" customHeight="1" x14ac:dyDescent="0.2">
      <c r="A146" s="5" t="s">
        <v>880</v>
      </c>
      <c r="B146" s="32" t="s">
        <v>903</v>
      </c>
      <c r="C146" s="4" t="s">
        <v>1251</v>
      </c>
      <c r="D146" s="7">
        <v>-176000</v>
      </c>
      <c r="E146" s="7">
        <v>-1009.98</v>
      </c>
      <c r="F146" s="8">
        <v>-4.8999999999999998E-3</v>
      </c>
      <c r="G146" s="9"/>
      <c r="H146" s="46"/>
    </row>
    <row r="147" spans="1:8" ht="12.95" customHeight="1" x14ac:dyDescent="0.2">
      <c r="A147" s="5" t="s">
        <v>882</v>
      </c>
      <c r="B147" s="32" t="s">
        <v>899</v>
      </c>
      <c r="C147" s="4" t="s">
        <v>1251</v>
      </c>
      <c r="D147" s="7">
        <v>-324800</v>
      </c>
      <c r="E147" s="7">
        <v>-939.16</v>
      </c>
      <c r="F147" s="8">
        <v>-4.5999999999999999E-3</v>
      </c>
      <c r="G147" s="9"/>
      <c r="H147" s="46"/>
    </row>
    <row r="148" spans="1:8" ht="12.95" customHeight="1" x14ac:dyDescent="0.2">
      <c r="A148" s="5" t="s">
        <v>884</v>
      </c>
      <c r="B148" s="32" t="s">
        <v>901</v>
      </c>
      <c r="C148" s="4" t="s">
        <v>1251</v>
      </c>
      <c r="D148" s="7">
        <v>-27125</v>
      </c>
      <c r="E148" s="7">
        <v>-953.44</v>
      </c>
      <c r="F148" s="8">
        <v>-4.5999999999999999E-3</v>
      </c>
      <c r="G148" s="9"/>
      <c r="H148" s="46"/>
    </row>
    <row r="149" spans="1:8" ht="12.95" customHeight="1" x14ac:dyDescent="0.2">
      <c r="A149" s="5" t="s">
        <v>886</v>
      </c>
      <c r="B149" s="32" t="s">
        <v>897</v>
      </c>
      <c r="C149" s="4" t="s">
        <v>1251</v>
      </c>
      <c r="D149" s="7">
        <v>-176000</v>
      </c>
      <c r="E149" s="7">
        <v>-876.3</v>
      </c>
      <c r="F149" s="8">
        <v>-4.3E-3</v>
      </c>
      <c r="G149" s="9"/>
      <c r="H149" s="46"/>
    </row>
    <row r="150" spans="1:8" ht="12.95" customHeight="1" x14ac:dyDescent="0.2">
      <c r="A150" s="5" t="s">
        <v>888</v>
      </c>
      <c r="B150" s="32" t="s">
        <v>895</v>
      </c>
      <c r="C150" s="4" t="s">
        <v>1251</v>
      </c>
      <c r="D150" s="7">
        <v>-675000</v>
      </c>
      <c r="E150" s="7">
        <v>-837.47</v>
      </c>
      <c r="F150" s="8">
        <v>-4.1000000000000003E-3</v>
      </c>
      <c r="G150" s="9"/>
      <c r="H150" s="46"/>
    </row>
    <row r="151" spans="1:8" ht="12.95" customHeight="1" x14ac:dyDescent="0.2">
      <c r="A151" s="5" t="s">
        <v>890</v>
      </c>
      <c r="B151" s="32" t="s">
        <v>893</v>
      </c>
      <c r="C151" s="4" t="s">
        <v>1251</v>
      </c>
      <c r="D151" s="7">
        <v>-507600</v>
      </c>
      <c r="E151" s="7">
        <v>-780.33</v>
      </c>
      <c r="F151" s="8">
        <v>-3.8E-3</v>
      </c>
      <c r="G151" s="9"/>
      <c r="H151" s="46"/>
    </row>
    <row r="152" spans="1:8" ht="12.95" customHeight="1" x14ac:dyDescent="0.2">
      <c r="A152" s="5" t="s">
        <v>892</v>
      </c>
      <c r="B152" s="32" t="s">
        <v>891</v>
      </c>
      <c r="C152" s="4" t="s">
        <v>1251</v>
      </c>
      <c r="D152" s="7">
        <v>-247650</v>
      </c>
      <c r="E152" s="7">
        <v>-721.4</v>
      </c>
      <c r="F152" s="8">
        <v>-3.5000000000000001E-3</v>
      </c>
      <c r="G152" s="9"/>
      <c r="H152" s="46"/>
    </row>
    <row r="153" spans="1:8" ht="12.95" customHeight="1" x14ac:dyDescent="0.2">
      <c r="A153" s="5" t="s">
        <v>894</v>
      </c>
      <c r="B153" s="32" t="s">
        <v>889</v>
      </c>
      <c r="C153" s="4" t="s">
        <v>1251</v>
      </c>
      <c r="D153" s="7">
        <v>-232500</v>
      </c>
      <c r="E153" s="7">
        <v>-680.06</v>
      </c>
      <c r="F153" s="8">
        <v>-3.3E-3</v>
      </c>
      <c r="G153" s="9"/>
      <c r="H153" s="46"/>
    </row>
    <row r="154" spans="1:8" ht="12.95" customHeight="1" x14ac:dyDescent="0.2">
      <c r="A154" s="5" t="s">
        <v>896</v>
      </c>
      <c r="B154" s="32" t="s">
        <v>887</v>
      </c>
      <c r="C154" s="4" t="s">
        <v>1251</v>
      </c>
      <c r="D154" s="7">
        <v>-58050</v>
      </c>
      <c r="E154" s="7">
        <v>-653.17999999999995</v>
      </c>
      <c r="F154" s="8">
        <v>-3.2000000000000002E-3</v>
      </c>
      <c r="G154" s="9"/>
      <c r="H154" s="46"/>
    </row>
    <row r="155" spans="1:8" ht="12.95" customHeight="1" x14ac:dyDescent="0.2">
      <c r="A155" s="5" t="s">
        <v>898</v>
      </c>
      <c r="B155" s="32" t="s">
        <v>885</v>
      </c>
      <c r="C155" s="4" t="s">
        <v>1251</v>
      </c>
      <c r="D155" s="7">
        <v>-160000</v>
      </c>
      <c r="E155" s="7">
        <v>-578.96</v>
      </c>
      <c r="F155" s="8">
        <v>-2.8E-3</v>
      </c>
      <c r="G155" s="9"/>
      <c r="H155" s="46"/>
    </row>
    <row r="156" spans="1:8" ht="12.95" customHeight="1" x14ac:dyDescent="0.2">
      <c r="A156" s="5" t="s">
        <v>900</v>
      </c>
      <c r="B156" s="32" t="s">
        <v>883</v>
      </c>
      <c r="C156" s="4" t="s">
        <v>1251</v>
      </c>
      <c r="D156" s="7">
        <v>-58500</v>
      </c>
      <c r="E156" s="7">
        <v>-512.30999999999995</v>
      </c>
      <c r="F156" s="8">
        <v>-2.5000000000000001E-3</v>
      </c>
      <c r="G156" s="9"/>
      <c r="H156" s="46"/>
    </row>
    <row r="157" spans="1:8" ht="12.95" customHeight="1" x14ac:dyDescent="0.2">
      <c r="A157" s="5" t="s">
        <v>902</v>
      </c>
      <c r="B157" s="32" t="s">
        <v>879</v>
      </c>
      <c r="C157" s="4" t="s">
        <v>1251</v>
      </c>
      <c r="D157" s="7">
        <v>-38750</v>
      </c>
      <c r="E157" s="7">
        <v>-488.6</v>
      </c>
      <c r="F157" s="8">
        <v>-2.3999999999999998E-3</v>
      </c>
      <c r="G157" s="9"/>
      <c r="H157" s="46"/>
    </row>
    <row r="158" spans="1:8" ht="12.95" customHeight="1" x14ac:dyDescent="0.2">
      <c r="A158" s="5" t="s">
        <v>904</v>
      </c>
      <c r="B158" s="32" t="s">
        <v>881</v>
      </c>
      <c r="C158" s="4" t="s">
        <v>1251</v>
      </c>
      <c r="D158" s="7">
        <v>-129375</v>
      </c>
      <c r="E158" s="7">
        <v>-498.68</v>
      </c>
      <c r="F158" s="8">
        <v>-2.3999999999999998E-3</v>
      </c>
      <c r="G158" s="9"/>
      <c r="H158" s="46"/>
    </row>
    <row r="159" spans="1:8" ht="12.95" customHeight="1" x14ac:dyDescent="0.2">
      <c r="A159" s="5" t="s">
        <v>906</v>
      </c>
      <c r="B159" s="32" t="s">
        <v>877</v>
      </c>
      <c r="C159" s="4" t="s">
        <v>1251</v>
      </c>
      <c r="D159" s="7">
        <v>-318200</v>
      </c>
      <c r="E159" s="7">
        <v>-477.78</v>
      </c>
      <c r="F159" s="8">
        <v>-2.3E-3</v>
      </c>
      <c r="G159" s="9"/>
      <c r="H159" s="46"/>
    </row>
    <row r="160" spans="1:8" ht="12.95" customHeight="1" x14ac:dyDescent="0.2">
      <c r="A160" s="5" t="s">
        <v>908</v>
      </c>
      <c r="B160" s="32" t="s">
        <v>875</v>
      </c>
      <c r="C160" s="4" t="s">
        <v>1251</v>
      </c>
      <c r="D160" s="7">
        <v>-27250</v>
      </c>
      <c r="E160" s="7">
        <v>-446.11</v>
      </c>
      <c r="F160" s="8">
        <v>-2.2000000000000001E-3</v>
      </c>
      <c r="G160" s="9"/>
      <c r="H160" s="46"/>
    </row>
    <row r="161" spans="1:8" ht="12.95" customHeight="1" x14ac:dyDescent="0.2">
      <c r="A161" s="5" t="s">
        <v>910</v>
      </c>
      <c r="B161" s="32" t="s">
        <v>189</v>
      </c>
      <c r="C161" s="4" t="s">
        <v>1251</v>
      </c>
      <c r="D161" s="7">
        <v>-24850</v>
      </c>
      <c r="E161" s="7">
        <v>-438.73</v>
      </c>
      <c r="F161" s="8">
        <v>-2.0999999999999999E-3</v>
      </c>
      <c r="G161" s="9"/>
      <c r="H161" s="46"/>
    </row>
    <row r="162" spans="1:8" ht="12.95" customHeight="1" x14ac:dyDescent="0.2">
      <c r="A162" s="5" t="s">
        <v>912</v>
      </c>
      <c r="B162" s="32" t="s">
        <v>873</v>
      </c>
      <c r="C162" s="4" t="s">
        <v>1251</v>
      </c>
      <c r="D162" s="7">
        <v>-88000</v>
      </c>
      <c r="E162" s="7">
        <v>-414.88</v>
      </c>
      <c r="F162" s="8">
        <v>-2E-3</v>
      </c>
      <c r="G162" s="9"/>
      <c r="H162" s="46"/>
    </row>
    <row r="163" spans="1:8" ht="12.95" customHeight="1" x14ac:dyDescent="0.2">
      <c r="A163" s="5" t="s">
        <v>914</v>
      </c>
      <c r="B163" s="32" t="s">
        <v>871</v>
      </c>
      <c r="C163" s="4" t="s">
        <v>1251</v>
      </c>
      <c r="D163" s="7">
        <v>-144000</v>
      </c>
      <c r="E163" s="7">
        <v>-322.77999999999997</v>
      </c>
      <c r="F163" s="8">
        <v>-1.6000000000000001E-3</v>
      </c>
      <c r="G163" s="9"/>
      <c r="H163" s="46"/>
    </row>
    <row r="164" spans="1:8" ht="12.95" customHeight="1" x14ac:dyDescent="0.2">
      <c r="A164" s="5" t="s">
        <v>916</v>
      </c>
      <c r="B164" s="32" t="s">
        <v>869</v>
      </c>
      <c r="C164" s="4" t="s">
        <v>1251</v>
      </c>
      <c r="D164" s="7">
        <v>-26950</v>
      </c>
      <c r="E164" s="7">
        <v>-274.89</v>
      </c>
      <c r="F164" s="8">
        <v>-1.2999999999999999E-3</v>
      </c>
      <c r="G164" s="9"/>
      <c r="H164" s="46"/>
    </row>
    <row r="165" spans="1:8" ht="12.95" customHeight="1" x14ac:dyDescent="0.2">
      <c r="A165" s="5" t="s">
        <v>918</v>
      </c>
      <c r="B165" s="32" t="s">
        <v>867</v>
      </c>
      <c r="C165" s="4" t="s">
        <v>1251</v>
      </c>
      <c r="D165" s="7">
        <v>-24650</v>
      </c>
      <c r="E165" s="7">
        <v>-237.21</v>
      </c>
      <c r="F165" s="8">
        <v>-1.1999999999999999E-3</v>
      </c>
      <c r="G165" s="9"/>
      <c r="H165" s="46"/>
    </row>
    <row r="166" spans="1:8" ht="12.95" customHeight="1" x14ac:dyDescent="0.2">
      <c r="A166" s="5" t="s">
        <v>920</v>
      </c>
      <c r="B166" s="32" t="s">
        <v>863</v>
      </c>
      <c r="C166" s="4" t="s">
        <v>1251</v>
      </c>
      <c r="D166" s="7">
        <v>-286000</v>
      </c>
      <c r="E166" s="7">
        <v>-216.59</v>
      </c>
      <c r="F166" s="8">
        <v>-1.1000000000000001E-3</v>
      </c>
      <c r="G166" s="9"/>
      <c r="H166" s="46"/>
    </row>
    <row r="167" spans="1:8" ht="12.95" customHeight="1" x14ac:dyDescent="0.2">
      <c r="A167" s="5" t="s">
        <v>190</v>
      </c>
      <c r="B167" s="32" t="s">
        <v>865</v>
      </c>
      <c r="C167" s="4" t="s">
        <v>1251</v>
      </c>
      <c r="D167" s="7">
        <v>-17600</v>
      </c>
      <c r="E167" s="7">
        <v>-229.93</v>
      </c>
      <c r="F167" s="8">
        <v>-1.1000000000000001E-3</v>
      </c>
      <c r="G167" s="9"/>
      <c r="H167" s="46"/>
    </row>
    <row r="168" spans="1:8" ht="12.95" customHeight="1" x14ac:dyDescent="0.2">
      <c r="A168" s="5" t="s">
        <v>922</v>
      </c>
      <c r="B168" s="32" t="s">
        <v>859</v>
      </c>
      <c r="C168" s="4" t="s">
        <v>1251</v>
      </c>
      <c r="D168" s="7">
        <v>-3400</v>
      </c>
      <c r="E168" s="7">
        <v>-202.78</v>
      </c>
      <c r="F168" s="8">
        <v>-1E-3</v>
      </c>
      <c r="G168" s="9"/>
      <c r="H168" s="46"/>
    </row>
    <row r="169" spans="1:8" ht="12.95" customHeight="1" x14ac:dyDescent="0.2">
      <c r="A169" s="5" t="s">
        <v>924</v>
      </c>
      <c r="B169" s="32" t="s">
        <v>861</v>
      </c>
      <c r="C169" s="4" t="s">
        <v>1251</v>
      </c>
      <c r="D169" s="7">
        <v>-1700</v>
      </c>
      <c r="E169" s="7">
        <v>-209.85</v>
      </c>
      <c r="F169" s="8">
        <v>-1E-3</v>
      </c>
      <c r="G169" s="9"/>
      <c r="H169" s="46"/>
    </row>
    <row r="170" spans="1:8" ht="12.95" customHeight="1" x14ac:dyDescent="0.2">
      <c r="A170" s="5" t="s">
        <v>926</v>
      </c>
      <c r="B170" s="32" t="s">
        <v>855</v>
      </c>
      <c r="C170" s="4" t="s">
        <v>1251</v>
      </c>
      <c r="D170" s="7">
        <v>-64800</v>
      </c>
      <c r="E170" s="7">
        <v>-187.5</v>
      </c>
      <c r="F170" s="8">
        <v>-8.9999999999999998E-4</v>
      </c>
      <c r="G170" s="9"/>
      <c r="H170" s="46"/>
    </row>
    <row r="171" spans="1:8" ht="12.95" customHeight="1" x14ac:dyDescent="0.2">
      <c r="A171" s="5" t="s">
        <v>928</v>
      </c>
      <c r="B171" s="32" t="s">
        <v>857</v>
      </c>
      <c r="C171" s="4" t="s">
        <v>1251</v>
      </c>
      <c r="D171" s="7">
        <v>-25350</v>
      </c>
      <c r="E171" s="7">
        <v>-191.72</v>
      </c>
      <c r="F171" s="8">
        <v>-8.9999999999999998E-4</v>
      </c>
      <c r="G171" s="9"/>
      <c r="H171" s="46"/>
    </row>
    <row r="172" spans="1:8" ht="12.95" customHeight="1" x14ac:dyDescent="0.2">
      <c r="A172" s="16" t="s">
        <v>930</v>
      </c>
      <c r="B172" s="43" t="s">
        <v>851</v>
      </c>
      <c r="C172" s="17" t="s">
        <v>1251</v>
      </c>
      <c r="D172" s="19">
        <v>-113400</v>
      </c>
      <c r="E172" s="19">
        <v>-156.68</v>
      </c>
      <c r="F172" s="20">
        <v>-8.0000000000000004E-4</v>
      </c>
      <c r="G172" s="21"/>
      <c r="H172" s="130"/>
    </row>
    <row r="173" spans="1:8" ht="12.95" customHeight="1" x14ac:dyDescent="0.2">
      <c r="A173" s="16" t="s">
        <v>932</v>
      </c>
      <c r="B173" s="43" t="s">
        <v>853</v>
      </c>
      <c r="C173" s="17" t="s">
        <v>1251</v>
      </c>
      <c r="D173" s="19">
        <v>-23850</v>
      </c>
      <c r="E173" s="19">
        <v>-161.86000000000001</v>
      </c>
      <c r="F173" s="20">
        <v>-8.0000000000000004E-4</v>
      </c>
      <c r="G173" s="21"/>
      <c r="H173" s="130"/>
    </row>
    <row r="174" spans="1:8" ht="12.95" customHeight="1" x14ac:dyDescent="0.2">
      <c r="A174" s="16" t="s">
        <v>934</v>
      </c>
      <c r="B174" s="43" t="s">
        <v>849</v>
      </c>
      <c r="C174" s="17" t="s">
        <v>1251</v>
      </c>
      <c r="D174" s="19">
        <v>-684200</v>
      </c>
      <c r="E174" s="19">
        <v>-118.71</v>
      </c>
      <c r="F174" s="20">
        <v>-5.9999999999999995E-4</v>
      </c>
      <c r="G174" s="21"/>
      <c r="H174" s="130"/>
    </row>
    <row r="175" spans="1:8" ht="12.95" customHeight="1" x14ac:dyDescent="0.2">
      <c r="A175" s="16" t="s">
        <v>181</v>
      </c>
      <c r="B175" s="43" t="s">
        <v>847</v>
      </c>
      <c r="C175" s="17" t="s">
        <v>1251</v>
      </c>
      <c r="D175" s="19">
        <v>-6875</v>
      </c>
      <c r="E175" s="19">
        <v>-101.3</v>
      </c>
      <c r="F175" s="20">
        <v>-5.0000000000000001E-4</v>
      </c>
      <c r="G175" s="21"/>
      <c r="H175" s="130"/>
    </row>
    <row r="176" spans="1:8" ht="12.95" customHeight="1" x14ac:dyDescent="0.2">
      <c r="A176" s="16" t="s">
        <v>936</v>
      </c>
      <c r="B176" s="43" t="s">
        <v>187</v>
      </c>
      <c r="C176" s="17" t="s">
        <v>1251</v>
      </c>
      <c r="D176" s="19">
        <v>-8400</v>
      </c>
      <c r="E176" s="19">
        <v>-74.58</v>
      </c>
      <c r="F176" s="20">
        <v>-4.0000000000000002E-4</v>
      </c>
      <c r="G176" s="21"/>
      <c r="H176" s="130"/>
    </row>
    <row r="177" spans="1:8" ht="12.95" customHeight="1" x14ac:dyDescent="0.2">
      <c r="A177" s="16" t="s">
        <v>938</v>
      </c>
      <c r="B177" s="43" t="s">
        <v>845</v>
      </c>
      <c r="C177" s="17" t="s">
        <v>1251</v>
      </c>
      <c r="D177" s="19">
        <v>-4500</v>
      </c>
      <c r="E177" s="19">
        <v>-80.42</v>
      </c>
      <c r="F177" s="20">
        <v>-4.0000000000000002E-4</v>
      </c>
      <c r="G177" s="21"/>
      <c r="H177" s="130"/>
    </row>
    <row r="178" spans="1:8" ht="12.95" customHeight="1" x14ac:dyDescent="0.2">
      <c r="A178" s="16" t="s">
        <v>940</v>
      </c>
      <c r="B178" s="43" t="s">
        <v>843</v>
      </c>
      <c r="C178" s="17" t="s">
        <v>1251</v>
      </c>
      <c r="D178" s="19">
        <v>-4800</v>
      </c>
      <c r="E178" s="19">
        <v>-58.65</v>
      </c>
      <c r="F178" s="20">
        <v>-2.9999999999999997E-4</v>
      </c>
      <c r="G178" s="21"/>
      <c r="H178" s="130"/>
    </row>
    <row r="179" spans="1:8" ht="12.95" customHeight="1" x14ac:dyDescent="0.2">
      <c r="A179" s="16" t="s">
        <v>942</v>
      </c>
      <c r="B179" s="43" t="s">
        <v>837</v>
      </c>
      <c r="C179" s="17" t="s">
        <v>1251</v>
      </c>
      <c r="D179" s="19">
        <v>-11200</v>
      </c>
      <c r="E179" s="19">
        <v>-33.25</v>
      </c>
      <c r="F179" s="20">
        <v>-2.0000000000000001E-4</v>
      </c>
      <c r="G179" s="21"/>
      <c r="H179" s="130"/>
    </row>
    <row r="180" spans="1:8" ht="12.95" customHeight="1" x14ac:dyDescent="0.2">
      <c r="A180" s="16" t="s">
        <v>944</v>
      </c>
      <c r="B180" s="43" t="s">
        <v>839</v>
      </c>
      <c r="C180" s="17" t="s">
        <v>1251</v>
      </c>
      <c r="D180" s="19">
        <v>-1925</v>
      </c>
      <c r="E180" s="19">
        <v>-39.56</v>
      </c>
      <c r="F180" s="20">
        <v>-2.0000000000000001E-4</v>
      </c>
      <c r="G180" s="21"/>
      <c r="H180" s="130"/>
    </row>
    <row r="181" spans="1:8" ht="12.95" customHeight="1" x14ac:dyDescent="0.2">
      <c r="A181" s="16" t="s">
        <v>946</v>
      </c>
      <c r="B181" s="43" t="s">
        <v>841</v>
      </c>
      <c r="C181" s="17" t="s">
        <v>1251</v>
      </c>
      <c r="D181" s="19">
        <v>-10000</v>
      </c>
      <c r="E181" s="19">
        <v>-41.3</v>
      </c>
      <c r="F181" s="20">
        <v>-2.0000000000000001E-4</v>
      </c>
      <c r="G181" s="21"/>
      <c r="H181" s="130"/>
    </row>
    <row r="182" spans="1:8" ht="12.95" customHeight="1" x14ac:dyDescent="0.2">
      <c r="A182" s="16" t="s">
        <v>192</v>
      </c>
      <c r="B182" s="43" t="s">
        <v>831</v>
      </c>
      <c r="C182" s="17" t="s">
        <v>1251</v>
      </c>
      <c r="D182" s="19">
        <v>-750</v>
      </c>
      <c r="E182" s="19">
        <v>-16.07</v>
      </c>
      <c r="F182" s="20">
        <v>-1E-4</v>
      </c>
      <c r="G182" s="21"/>
      <c r="H182" s="130"/>
    </row>
    <row r="183" spans="1:8" ht="12.95" customHeight="1" x14ac:dyDescent="0.2">
      <c r="A183" s="16" t="s">
        <v>948</v>
      </c>
      <c r="B183" s="43" t="s">
        <v>833</v>
      </c>
      <c r="C183" s="17" t="s">
        <v>1251</v>
      </c>
      <c r="D183" s="19">
        <v>-1700</v>
      </c>
      <c r="E183" s="19">
        <v>-16.920000000000002</v>
      </c>
      <c r="F183" s="20">
        <v>-1E-4</v>
      </c>
      <c r="G183" s="21"/>
      <c r="H183" s="130"/>
    </row>
    <row r="184" spans="1:8" ht="12.95" customHeight="1" x14ac:dyDescent="0.2">
      <c r="A184" s="16" t="s">
        <v>950</v>
      </c>
      <c r="B184" s="43" t="s">
        <v>835</v>
      </c>
      <c r="C184" s="17" t="s">
        <v>1251</v>
      </c>
      <c r="D184" s="19">
        <v>-2500</v>
      </c>
      <c r="E184" s="19">
        <v>-27.88</v>
      </c>
      <c r="F184" s="20">
        <v>-1E-4</v>
      </c>
      <c r="G184" s="21"/>
      <c r="H184" s="130"/>
    </row>
    <row r="185" spans="1:8" ht="12.95" customHeight="1" x14ac:dyDescent="0.2">
      <c r="A185" s="16" t="s">
        <v>464</v>
      </c>
      <c r="B185" s="43" t="s">
        <v>825</v>
      </c>
      <c r="C185" s="17" t="s">
        <v>1251</v>
      </c>
      <c r="D185" s="19">
        <v>-350</v>
      </c>
      <c r="E185" s="19">
        <v>-5.27</v>
      </c>
      <c r="F185" s="20" t="s">
        <v>1256</v>
      </c>
      <c r="G185" s="21"/>
      <c r="H185" s="130"/>
    </row>
    <row r="186" spans="1:8" ht="12.95" customHeight="1" x14ac:dyDescent="0.2">
      <c r="A186" s="16" t="s">
        <v>952</v>
      </c>
      <c r="B186" s="43" t="s">
        <v>827</v>
      </c>
      <c r="C186" s="17" t="s">
        <v>1251</v>
      </c>
      <c r="D186" s="19">
        <v>-500</v>
      </c>
      <c r="E186" s="19">
        <v>-5.91</v>
      </c>
      <c r="F186" s="20" t="s">
        <v>1256</v>
      </c>
      <c r="G186" s="21"/>
      <c r="H186" s="130"/>
    </row>
    <row r="187" spans="1:8" ht="12.95" customHeight="1" x14ac:dyDescent="0.2">
      <c r="A187" s="16" t="s">
        <v>954</v>
      </c>
      <c r="B187" s="43" t="s">
        <v>829</v>
      </c>
      <c r="C187" s="17" t="s">
        <v>1251</v>
      </c>
      <c r="D187" s="19">
        <v>-625</v>
      </c>
      <c r="E187" s="19">
        <v>-8.49</v>
      </c>
      <c r="F187" s="20" t="s">
        <v>1256</v>
      </c>
      <c r="G187" s="21"/>
      <c r="H187" s="130"/>
    </row>
    <row r="188" spans="1:8" ht="12.95" customHeight="1" x14ac:dyDescent="0.2">
      <c r="A188" s="130"/>
      <c r="B188" s="131" t="s">
        <v>128</v>
      </c>
      <c r="C188" s="132"/>
      <c r="D188" s="133"/>
      <c r="E188" s="133">
        <v>-136047.04999999999</v>
      </c>
      <c r="F188" s="134">
        <v>-0.66090000000000004</v>
      </c>
      <c r="G188" s="135"/>
      <c r="H188" s="130"/>
    </row>
    <row r="189" spans="1:8" ht="12.95" customHeight="1" x14ac:dyDescent="0.2">
      <c r="A189" s="130"/>
      <c r="B189" s="131" t="s">
        <v>165</v>
      </c>
      <c r="C189" s="136"/>
      <c r="D189" s="133"/>
      <c r="E189" s="133">
        <v>-136047.04999999999</v>
      </c>
      <c r="F189" s="134">
        <v>-0.66090000000000004</v>
      </c>
      <c r="G189" s="135"/>
      <c r="H189" s="130"/>
    </row>
    <row r="191" spans="1:8" x14ac:dyDescent="0.2">
      <c r="B191" s="47" t="s">
        <v>1252</v>
      </c>
    </row>
    <row r="192" spans="1:8" x14ac:dyDescent="0.2">
      <c r="B192" s="47" t="s">
        <v>1253</v>
      </c>
    </row>
    <row r="193" spans="2:8" x14ac:dyDescent="0.2">
      <c r="B193" s="47" t="s">
        <v>1254</v>
      </c>
    </row>
    <row r="194" spans="2:8" x14ac:dyDescent="0.2">
      <c r="B194" s="47" t="s">
        <v>1255</v>
      </c>
    </row>
    <row r="196" spans="2:8" x14ac:dyDescent="0.2">
      <c r="B196" s="58" t="s">
        <v>1420</v>
      </c>
      <c r="C196" s="59"/>
      <c r="D196" s="59"/>
      <c r="E196" s="59"/>
      <c r="F196" s="59"/>
      <c r="G196" s="61"/>
      <c r="H196" s="62"/>
    </row>
    <row r="197" spans="2:8" x14ac:dyDescent="0.2">
      <c r="B197" s="63" t="s">
        <v>1421</v>
      </c>
      <c r="C197" s="64"/>
      <c r="D197" s="69"/>
      <c r="E197" s="69"/>
      <c r="F197" s="64"/>
      <c r="G197" s="65"/>
      <c r="H197" s="66"/>
    </row>
    <row r="198" spans="2:8" ht="48" x14ac:dyDescent="0.2">
      <c r="B198" s="70" t="s">
        <v>1422</v>
      </c>
      <c r="C198" s="70" t="s">
        <v>1423</v>
      </c>
      <c r="D198" s="71" t="s">
        <v>1424</v>
      </c>
      <c r="E198" s="71" t="s">
        <v>1424</v>
      </c>
      <c r="F198" s="71" t="s">
        <v>1425</v>
      </c>
      <c r="G198" s="65"/>
      <c r="H198" s="66"/>
    </row>
    <row r="199" spans="2:8" x14ac:dyDescent="0.2">
      <c r="B199" s="70"/>
      <c r="C199" s="70"/>
      <c r="D199" s="71" t="s">
        <v>1426</v>
      </c>
      <c r="E199" s="71" t="s">
        <v>1427</v>
      </c>
      <c r="F199" s="71" t="s">
        <v>1426</v>
      </c>
      <c r="G199" s="65"/>
      <c r="H199" s="66"/>
    </row>
    <row r="200" spans="2:8" x14ac:dyDescent="0.2">
      <c r="B200" s="70" t="s">
        <v>164</v>
      </c>
      <c r="C200" s="70" t="s">
        <v>164</v>
      </c>
      <c r="D200" s="70" t="s">
        <v>164</v>
      </c>
      <c r="E200" s="70" t="s">
        <v>164</v>
      </c>
      <c r="F200" s="70" t="s">
        <v>164</v>
      </c>
      <c r="G200" s="65"/>
      <c r="H200" s="66"/>
    </row>
    <row r="201" spans="2:8" x14ac:dyDescent="0.2">
      <c r="B201" s="72"/>
      <c r="C201" s="64"/>
      <c r="D201" s="64"/>
      <c r="E201" s="64"/>
      <c r="F201" s="64"/>
      <c r="G201" s="65"/>
      <c r="H201" s="66"/>
    </row>
    <row r="202" spans="2:8" x14ac:dyDescent="0.2">
      <c r="B202" s="72" t="s">
        <v>1428</v>
      </c>
      <c r="C202" s="64"/>
      <c r="D202" s="64"/>
      <c r="E202" s="64"/>
      <c r="F202" s="64"/>
      <c r="G202" s="65"/>
      <c r="H202" s="66"/>
    </row>
    <row r="203" spans="2:8" x14ac:dyDescent="0.2">
      <c r="B203" s="63"/>
      <c r="C203" s="64"/>
      <c r="D203" s="64"/>
      <c r="E203" s="64"/>
      <c r="F203" s="64"/>
      <c r="G203" s="65"/>
      <c r="H203" s="66"/>
    </row>
    <row r="204" spans="2:8" x14ac:dyDescent="0.2">
      <c r="B204" s="72" t="s">
        <v>1429</v>
      </c>
      <c r="C204" s="64"/>
      <c r="D204" s="73"/>
      <c r="E204" s="64"/>
      <c r="F204" s="64"/>
      <c r="G204" s="65"/>
      <c r="H204" s="66"/>
    </row>
    <row r="205" spans="2:8" x14ac:dyDescent="0.2">
      <c r="B205" s="235" t="s">
        <v>1430</v>
      </c>
      <c r="C205" s="74">
        <v>46080</v>
      </c>
      <c r="D205" s="74">
        <v>46112</v>
      </c>
      <c r="E205" s="64"/>
      <c r="F205" s="75"/>
      <c r="G205" s="65"/>
      <c r="H205" s="66"/>
    </row>
    <row r="206" spans="2:8" x14ac:dyDescent="0.2">
      <c r="B206" s="235" t="s">
        <v>1598</v>
      </c>
      <c r="C206" s="236">
        <v>11.7448</v>
      </c>
      <c r="D206" s="236">
        <v>11.809799999999999</v>
      </c>
      <c r="E206" s="64"/>
      <c r="F206" s="75"/>
      <c r="G206" s="65"/>
      <c r="H206" s="66"/>
    </row>
    <row r="207" spans="2:8" x14ac:dyDescent="0.2">
      <c r="B207" s="235" t="s">
        <v>1599</v>
      </c>
      <c r="C207" s="236">
        <v>11.649800000000001</v>
      </c>
      <c r="D207" s="236">
        <v>11.710699999999999</v>
      </c>
      <c r="E207" s="64"/>
      <c r="F207" s="75"/>
      <c r="G207" s="65"/>
      <c r="H207" s="66"/>
    </row>
    <row r="208" spans="2:8" x14ac:dyDescent="0.2">
      <c r="B208" s="63"/>
      <c r="C208" s="64"/>
      <c r="D208" s="64"/>
      <c r="E208" s="64"/>
      <c r="F208" s="75"/>
      <c r="G208" s="65"/>
      <c r="H208" s="66"/>
    </row>
    <row r="209" spans="2:8" x14ac:dyDescent="0.2">
      <c r="B209" s="72" t="s">
        <v>1688</v>
      </c>
      <c r="C209" s="78"/>
      <c r="D209" s="78"/>
      <c r="E209" s="78"/>
      <c r="F209" s="75"/>
      <c r="G209" s="65"/>
      <c r="H209" s="66"/>
    </row>
    <row r="210" spans="2:8" x14ac:dyDescent="0.2">
      <c r="B210" s="72"/>
      <c r="C210" s="78"/>
      <c r="D210" s="78"/>
      <c r="E210" s="78"/>
      <c r="F210" s="64"/>
      <c r="G210" s="65"/>
      <c r="H210" s="66"/>
    </row>
    <row r="211" spans="2:8" x14ac:dyDescent="0.2">
      <c r="B211" s="72" t="s">
        <v>1672</v>
      </c>
      <c r="C211" s="78"/>
      <c r="D211" s="78"/>
      <c r="E211" s="78"/>
      <c r="F211" s="64"/>
      <c r="G211" s="65"/>
      <c r="H211" s="66"/>
    </row>
    <row r="212" spans="2:8" x14ac:dyDescent="0.2">
      <c r="B212" s="72"/>
      <c r="C212" s="78"/>
      <c r="D212" s="78"/>
      <c r="E212" s="78"/>
      <c r="F212" s="64"/>
      <c r="G212" s="67"/>
      <c r="H212" s="79"/>
    </row>
    <row r="213" spans="2:8" x14ac:dyDescent="0.2">
      <c r="B213" s="72" t="s">
        <v>1708</v>
      </c>
      <c r="C213" s="78"/>
      <c r="D213" s="83"/>
      <c r="E213" s="80"/>
      <c r="F213" s="81"/>
      <c r="G213" s="65"/>
      <c r="H213" s="79"/>
    </row>
    <row r="214" spans="2:8" x14ac:dyDescent="0.2">
      <c r="B214" s="82" t="s">
        <v>1435</v>
      </c>
      <c r="C214" s="78"/>
      <c r="D214" s="78"/>
      <c r="E214" s="83"/>
      <c r="F214" s="64"/>
      <c r="G214" s="65"/>
      <c r="H214" s="79"/>
    </row>
    <row r="215" spans="2:8" x14ac:dyDescent="0.2">
      <c r="B215" s="72"/>
      <c r="C215" s="78"/>
      <c r="D215" s="78"/>
      <c r="E215" s="78"/>
      <c r="F215" s="78"/>
      <c r="G215" s="78"/>
      <c r="H215" s="79"/>
    </row>
    <row r="216" spans="2:8" x14ac:dyDescent="0.2">
      <c r="B216" s="72" t="s">
        <v>1689</v>
      </c>
      <c r="C216" s="78"/>
      <c r="D216" s="78"/>
      <c r="E216" s="78"/>
      <c r="F216" s="78"/>
      <c r="G216" s="78"/>
      <c r="H216" s="79"/>
    </row>
    <row r="217" spans="2:8" x14ac:dyDescent="0.2">
      <c r="B217" s="72"/>
      <c r="C217" s="78"/>
      <c r="D217" s="78"/>
      <c r="E217" s="78"/>
      <c r="F217" s="78"/>
      <c r="G217" s="78"/>
      <c r="H217" s="79"/>
    </row>
    <row r="218" spans="2:8" x14ac:dyDescent="0.2">
      <c r="B218" s="72" t="s">
        <v>1713</v>
      </c>
      <c r="C218" s="78"/>
      <c r="D218" s="83"/>
      <c r="E218" s="83"/>
      <c r="F218" s="78"/>
      <c r="G218" s="78"/>
      <c r="H218" s="79"/>
    </row>
    <row r="219" spans="2:8" x14ac:dyDescent="0.2">
      <c r="B219" s="72"/>
      <c r="C219" s="78"/>
      <c r="D219" s="78"/>
      <c r="E219" s="78"/>
      <c r="F219" s="78"/>
      <c r="G219" s="78"/>
      <c r="H219" s="79"/>
    </row>
    <row r="220" spans="2:8" x14ac:dyDescent="0.2">
      <c r="B220" s="72" t="s">
        <v>1690</v>
      </c>
      <c r="C220" s="78"/>
      <c r="D220" s="78"/>
      <c r="E220" s="237"/>
      <c r="F220" s="64"/>
      <c r="G220" s="65"/>
      <c r="H220" s="79"/>
    </row>
    <row r="221" spans="2:8" x14ac:dyDescent="0.2">
      <c r="B221" s="72"/>
      <c r="C221" s="83"/>
      <c r="D221" s="78"/>
      <c r="E221" s="84"/>
      <c r="F221" s="65"/>
      <c r="G221" s="65"/>
      <c r="H221" s="66"/>
    </row>
    <row r="222" spans="2:8" x14ac:dyDescent="0.2">
      <c r="B222" s="85" t="s">
        <v>1709</v>
      </c>
      <c r="C222" s="78"/>
      <c r="D222" s="78"/>
      <c r="E222" s="78"/>
      <c r="F222" s="64"/>
      <c r="G222" s="65"/>
      <c r="H222" s="66"/>
    </row>
    <row r="223" spans="2:8" x14ac:dyDescent="0.2">
      <c r="B223" s="85"/>
      <c r="C223" s="78"/>
      <c r="D223" s="78"/>
      <c r="E223" s="65"/>
      <c r="F223" s="65"/>
      <c r="G223" s="65"/>
      <c r="H223" s="66"/>
    </row>
    <row r="224" spans="2:8" x14ac:dyDescent="0.2">
      <c r="B224" s="72" t="s">
        <v>1691</v>
      </c>
      <c r="C224" s="78"/>
      <c r="D224" s="78"/>
      <c r="E224" s="78"/>
      <c r="F224" s="64"/>
      <c r="G224" s="65"/>
      <c r="H224" s="66"/>
    </row>
    <row r="225" spans="2:8" x14ac:dyDescent="0.2">
      <c r="B225" s="82"/>
      <c r="C225" s="86"/>
      <c r="D225" s="86"/>
      <c r="E225" s="86"/>
      <c r="F225" s="87"/>
      <c r="G225" s="65"/>
      <c r="H225" s="66"/>
    </row>
    <row r="226" spans="2:8" x14ac:dyDescent="0.2">
      <c r="B226" s="82" t="s">
        <v>1532</v>
      </c>
      <c r="C226" s="86"/>
      <c r="D226" s="86"/>
      <c r="E226" s="86"/>
      <c r="F226" s="87"/>
      <c r="G226" s="65"/>
      <c r="H226" s="66"/>
    </row>
    <row r="227" spans="2:8" x14ac:dyDescent="0.2">
      <c r="B227" s="82"/>
      <c r="C227" s="86"/>
      <c r="D227" s="86"/>
      <c r="E227" s="86"/>
      <c r="F227" s="87"/>
      <c r="G227" s="65"/>
      <c r="H227" s="66"/>
    </row>
    <row r="228" spans="2:8" x14ac:dyDescent="0.2">
      <c r="B228" s="72" t="s">
        <v>1576</v>
      </c>
      <c r="C228" s="86"/>
      <c r="D228" s="86"/>
      <c r="E228" s="86"/>
      <c r="F228" s="64"/>
      <c r="G228" s="65"/>
      <c r="H228" s="66"/>
    </row>
    <row r="229" spans="2:8" x14ac:dyDescent="0.2">
      <c r="B229" s="82"/>
      <c r="C229" s="86"/>
      <c r="D229" s="86"/>
      <c r="E229" s="86"/>
      <c r="F229" s="87"/>
      <c r="G229" s="87"/>
      <c r="H229" s="66"/>
    </row>
    <row r="230" spans="2:8" ht="36" x14ac:dyDescent="0.2">
      <c r="B230" s="238" t="s">
        <v>2</v>
      </c>
      <c r="C230" s="239" t="s">
        <v>1440</v>
      </c>
      <c r="D230" s="239" t="s">
        <v>1441</v>
      </c>
      <c r="E230" s="240" t="s">
        <v>5</v>
      </c>
      <c r="F230" s="241" t="s">
        <v>1248</v>
      </c>
      <c r="G230" s="240" t="s">
        <v>1249</v>
      </c>
      <c r="H230" s="239" t="s">
        <v>1442</v>
      </c>
    </row>
    <row r="231" spans="2:8" ht="15" customHeight="1" x14ac:dyDescent="0.2">
      <c r="B231" s="216" t="s">
        <v>730</v>
      </c>
      <c r="C231" s="242">
        <v>302.07593333333335</v>
      </c>
      <c r="D231" s="242">
        <v>292.5</v>
      </c>
      <c r="E231" s="243">
        <v>-232500</v>
      </c>
      <c r="F231" s="243">
        <v>-680.06</v>
      </c>
      <c r="G231" s="283">
        <v>-3.3E-3</v>
      </c>
      <c r="H231" s="495">
        <v>29203.984088599998</v>
      </c>
    </row>
    <row r="232" spans="2:8" x14ac:dyDescent="0.2">
      <c r="B232" s="216" t="s">
        <v>762</v>
      </c>
      <c r="C232" s="242">
        <v>1297.1812312500001</v>
      </c>
      <c r="D232" s="242">
        <v>1306.4000000000001</v>
      </c>
      <c r="E232" s="243">
        <v>-17600</v>
      </c>
      <c r="F232" s="243">
        <v>-229.93</v>
      </c>
      <c r="G232" s="283">
        <v>-1.1000000000000001E-3</v>
      </c>
      <c r="H232" s="496"/>
    </row>
    <row r="233" spans="2:8" x14ac:dyDescent="0.2">
      <c r="B233" s="216" t="s">
        <v>682</v>
      </c>
      <c r="C233" s="242">
        <v>823.95052955223878</v>
      </c>
      <c r="D233" s="242">
        <v>804.5</v>
      </c>
      <c r="E233" s="243">
        <v>-251250</v>
      </c>
      <c r="F233" s="243">
        <v>-2021.31</v>
      </c>
      <c r="G233" s="283">
        <v>-9.7999999999999997E-3</v>
      </c>
      <c r="H233" s="496"/>
    </row>
    <row r="234" spans="2:8" x14ac:dyDescent="0.2">
      <c r="B234" s="216" t="s">
        <v>694</v>
      </c>
      <c r="C234" s="242">
        <v>150.3142970967742</v>
      </c>
      <c r="D234" s="242">
        <v>142.1</v>
      </c>
      <c r="E234" s="243">
        <v>-1116000</v>
      </c>
      <c r="F234" s="243">
        <v>-1585.84</v>
      </c>
      <c r="G234" s="283">
        <v>-7.7000000000000002E-3</v>
      </c>
      <c r="H234" s="496"/>
    </row>
    <row r="235" spans="2:8" x14ac:dyDescent="0.2">
      <c r="B235" s="216" t="s">
        <v>800</v>
      </c>
      <c r="C235" s="242">
        <v>2094.4285714285716</v>
      </c>
      <c r="D235" s="242">
        <v>2055.1999999999998</v>
      </c>
      <c r="E235" s="243">
        <v>-1925</v>
      </c>
      <c r="F235" s="243">
        <v>-39.56</v>
      </c>
      <c r="G235" s="283">
        <v>-2.0000000000000001E-4</v>
      </c>
      <c r="H235" s="496"/>
    </row>
    <row r="236" spans="2:8" x14ac:dyDescent="0.2">
      <c r="B236" s="216" t="s">
        <v>746</v>
      </c>
      <c r="C236" s="242">
        <v>1712.0311746788991</v>
      </c>
      <c r="D236" s="242">
        <v>1637.1</v>
      </c>
      <c r="E236" s="243">
        <v>-27250</v>
      </c>
      <c r="F236" s="243">
        <v>-446.11</v>
      </c>
      <c r="G236" s="283">
        <v>-2.2000000000000001E-3</v>
      </c>
      <c r="H236" s="496"/>
    </row>
    <row r="237" spans="2:8" x14ac:dyDescent="0.2">
      <c r="B237" s="216" t="s">
        <v>655</v>
      </c>
      <c r="C237" s="242">
        <v>261.79955551508255</v>
      </c>
      <c r="D237" s="242">
        <v>246.25</v>
      </c>
      <c r="E237" s="243">
        <v>-1976625</v>
      </c>
      <c r="F237" s="243">
        <v>-4867.4399999999996</v>
      </c>
      <c r="G237" s="283">
        <v>-2.3599999999999999E-2</v>
      </c>
      <c r="H237" s="496"/>
    </row>
    <row r="238" spans="2:8" x14ac:dyDescent="0.2">
      <c r="B238" s="216" t="s">
        <v>149</v>
      </c>
      <c r="C238" s="242">
        <v>437.02269664477768</v>
      </c>
      <c r="D238" s="242">
        <v>402.6</v>
      </c>
      <c r="E238" s="243">
        <v>-765225</v>
      </c>
      <c r="F238" s="243">
        <v>-3080.8</v>
      </c>
      <c r="G238" s="283">
        <v>-1.4999999999999999E-2</v>
      </c>
      <c r="H238" s="496"/>
    </row>
    <row r="239" spans="2:8" x14ac:dyDescent="0.2">
      <c r="B239" s="216" t="s">
        <v>736</v>
      </c>
      <c r="C239" s="242">
        <v>374.61326718750001</v>
      </c>
      <c r="D239" s="242">
        <v>361.85</v>
      </c>
      <c r="E239" s="243">
        <v>-160000</v>
      </c>
      <c r="F239" s="243">
        <v>-578.96</v>
      </c>
      <c r="G239" s="283">
        <v>-2.8E-3</v>
      </c>
      <c r="H239" s="496"/>
    </row>
    <row r="240" spans="2:8" x14ac:dyDescent="0.2">
      <c r="B240" s="216" t="s">
        <v>679</v>
      </c>
      <c r="C240" s="242">
        <v>264.57050063499719</v>
      </c>
      <c r="D240" s="242">
        <v>248.85</v>
      </c>
      <c r="E240" s="243">
        <v>-933075</v>
      </c>
      <c r="F240" s="243">
        <v>-2321.96</v>
      </c>
      <c r="G240" s="283">
        <v>-1.1299999999999999E-2</v>
      </c>
      <c r="H240" s="496"/>
    </row>
    <row r="241" spans="2:8" x14ac:dyDescent="0.2">
      <c r="B241" s="216" t="s">
        <v>707</v>
      </c>
      <c r="C241" s="242">
        <v>5480.2371425641022</v>
      </c>
      <c r="D241" s="242">
        <v>5450</v>
      </c>
      <c r="E241" s="243">
        <v>-19500</v>
      </c>
      <c r="F241" s="243">
        <v>-1062.75</v>
      </c>
      <c r="G241" s="283">
        <v>-5.1999999999999998E-3</v>
      </c>
      <c r="H241" s="496"/>
    </row>
    <row r="242" spans="2:8" x14ac:dyDescent="0.2">
      <c r="B242" s="216" t="s">
        <v>50</v>
      </c>
      <c r="C242" s="242">
        <v>1827.1682584377611</v>
      </c>
      <c r="D242" s="242">
        <v>1790.5</v>
      </c>
      <c r="E242" s="243">
        <v>-478800</v>
      </c>
      <c r="F242" s="243">
        <v>-8572.91</v>
      </c>
      <c r="G242" s="283">
        <v>-4.1599999999999998E-2</v>
      </c>
      <c r="H242" s="496"/>
    </row>
    <row r="243" spans="2:8" x14ac:dyDescent="0.2">
      <c r="B243" s="216" t="s">
        <v>724</v>
      </c>
      <c r="C243" s="242">
        <v>125.4208</v>
      </c>
      <c r="D243" s="242">
        <v>124.07</v>
      </c>
      <c r="E243" s="243">
        <v>-675000</v>
      </c>
      <c r="F243" s="243">
        <v>-837.47</v>
      </c>
      <c r="G243" s="283">
        <v>-4.1000000000000003E-3</v>
      </c>
      <c r="H243" s="496"/>
    </row>
    <row r="244" spans="2:8" x14ac:dyDescent="0.2">
      <c r="B244" s="216" t="s">
        <v>752</v>
      </c>
      <c r="C244" s="242">
        <v>238.52061875000001</v>
      </c>
      <c r="D244" s="242">
        <v>224.15</v>
      </c>
      <c r="E244" s="243">
        <v>-144000</v>
      </c>
      <c r="F244" s="243">
        <v>-322.77999999999997</v>
      </c>
      <c r="G244" s="283">
        <v>-1.6000000000000001E-3</v>
      </c>
      <c r="H244" s="496"/>
    </row>
    <row r="245" spans="2:8" x14ac:dyDescent="0.2">
      <c r="B245" s="216" t="s">
        <v>67</v>
      </c>
      <c r="C245" s="242">
        <v>875.26760000000002</v>
      </c>
      <c r="D245" s="242">
        <v>875.75</v>
      </c>
      <c r="E245" s="243">
        <v>-58500</v>
      </c>
      <c r="F245" s="243">
        <v>-512.30999999999995</v>
      </c>
      <c r="G245" s="283">
        <v>-2.5000000000000001E-3</v>
      </c>
      <c r="H245" s="496"/>
    </row>
    <row r="246" spans="2:8" x14ac:dyDescent="0.2">
      <c r="B246" s="216" t="s">
        <v>774</v>
      </c>
      <c r="C246" s="242">
        <v>302.42221666666666</v>
      </c>
      <c r="D246" s="242">
        <v>289.35000000000002</v>
      </c>
      <c r="E246" s="243">
        <v>-64800</v>
      </c>
      <c r="F246" s="243">
        <v>-187.5</v>
      </c>
      <c r="G246" s="283">
        <v>-8.9999999999999998E-4</v>
      </c>
      <c r="H246" s="496"/>
    </row>
    <row r="247" spans="2:8" x14ac:dyDescent="0.2">
      <c r="B247" s="216" t="s">
        <v>815</v>
      </c>
      <c r="C247" s="242">
        <v>1394.7</v>
      </c>
      <c r="D247" s="242">
        <v>1358.3</v>
      </c>
      <c r="E247" s="243">
        <v>-625</v>
      </c>
      <c r="F247" s="243">
        <v>-8.49</v>
      </c>
      <c r="G247" s="283">
        <v>0</v>
      </c>
      <c r="H247" s="496"/>
    </row>
    <row r="248" spans="2:8" x14ac:dyDescent="0.2">
      <c r="B248" s="216" t="s">
        <v>796</v>
      </c>
      <c r="C248" s="242">
        <v>430.18124999999998</v>
      </c>
      <c r="D248" s="242">
        <v>412.95</v>
      </c>
      <c r="E248" s="243">
        <v>-10000</v>
      </c>
      <c r="F248" s="243">
        <v>-41.3</v>
      </c>
      <c r="G248" s="283">
        <v>-2.0000000000000001E-4</v>
      </c>
      <c r="H248" s="496"/>
    </row>
    <row r="249" spans="2:8" x14ac:dyDescent="0.2">
      <c r="B249" s="216" t="s">
        <v>768</v>
      </c>
      <c r="C249" s="242">
        <v>6062.7794117647063</v>
      </c>
      <c r="D249" s="242">
        <v>5964</v>
      </c>
      <c r="E249" s="243">
        <v>-3400</v>
      </c>
      <c r="F249" s="243">
        <v>-202.78</v>
      </c>
      <c r="G249" s="283">
        <v>-1E-3</v>
      </c>
      <c r="H249" s="496"/>
    </row>
    <row r="250" spans="2:8" x14ac:dyDescent="0.2">
      <c r="B250" s="216" t="s">
        <v>691</v>
      </c>
      <c r="C250" s="242">
        <v>528.88905878199466</v>
      </c>
      <c r="D250" s="242">
        <v>505.6</v>
      </c>
      <c r="E250" s="243">
        <v>-339900</v>
      </c>
      <c r="F250" s="243">
        <v>-1718.53</v>
      </c>
      <c r="G250" s="283">
        <v>-8.3000000000000001E-3</v>
      </c>
      <c r="H250" s="496"/>
    </row>
    <row r="251" spans="2:8" x14ac:dyDescent="0.2">
      <c r="B251" s="216" t="s">
        <v>63</v>
      </c>
      <c r="C251" s="242">
        <v>1262.3661001290322</v>
      </c>
      <c r="D251" s="242">
        <v>1260.9000000000001</v>
      </c>
      <c r="E251" s="243">
        <v>-38750</v>
      </c>
      <c r="F251" s="243">
        <v>-488.6</v>
      </c>
      <c r="G251" s="283">
        <v>-2.3999999999999998E-3</v>
      </c>
      <c r="H251" s="496"/>
    </row>
    <row r="252" spans="2:8" x14ac:dyDescent="0.2">
      <c r="B252" s="216" t="s">
        <v>688</v>
      </c>
      <c r="C252" s="242">
        <v>6626.3478999999998</v>
      </c>
      <c r="D252" s="242">
        <v>6619.5</v>
      </c>
      <c r="E252" s="243">
        <v>-26300</v>
      </c>
      <c r="F252" s="243">
        <v>-1740.93</v>
      </c>
      <c r="G252" s="283">
        <v>-8.5000000000000006E-3</v>
      </c>
      <c r="H252" s="496"/>
    </row>
    <row r="253" spans="2:8" x14ac:dyDescent="0.2">
      <c r="B253" s="216" t="s">
        <v>780</v>
      </c>
      <c r="C253" s="242">
        <v>139.63469171075837</v>
      </c>
      <c r="D253" s="242">
        <v>138.16999999999999</v>
      </c>
      <c r="E253" s="243">
        <v>-113400</v>
      </c>
      <c r="F253" s="243">
        <v>-156.68</v>
      </c>
      <c r="G253" s="283">
        <v>-8.0000000000000004E-4</v>
      </c>
      <c r="H253" s="496"/>
    </row>
    <row r="254" spans="2:8" x14ac:dyDescent="0.2">
      <c r="B254" s="216" t="s">
        <v>812</v>
      </c>
      <c r="C254" s="242">
        <v>2103.75</v>
      </c>
      <c r="D254" s="242">
        <v>2142.6999999999998</v>
      </c>
      <c r="E254" s="243">
        <v>-750</v>
      </c>
      <c r="F254" s="243">
        <v>-16.07</v>
      </c>
      <c r="G254" s="283">
        <v>-1E-4</v>
      </c>
      <c r="H254" s="496"/>
    </row>
    <row r="255" spans="2:8" x14ac:dyDescent="0.2">
      <c r="B255" s="216" t="s">
        <v>672</v>
      </c>
      <c r="C255" s="242">
        <v>87.917949778999315</v>
      </c>
      <c r="D255" s="242">
        <v>85.15</v>
      </c>
      <c r="E255" s="243">
        <v>-3110850</v>
      </c>
      <c r="F255" s="243">
        <v>-2648.89</v>
      </c>
      <c r="G255" s="283">
        <v>-1.29E-2</v>
      </c>
      <c r="H255" s="496"/>
    </row>
    <row r="256" spans="2:8" x14ac:dyDescent="0.2">
      <c r="B256" s="216" t="s">
        <v>786</v>
      </c>
      <c r="C256" s="242">
        <v>1541.1879839999999</v>
      </c>
      <c r="D256" s="242">
        <v>1473.4</v>
      </c>
      <c r="E256" s="243">
        <v>-6875</v>
      </c>
      <c r="F256" s="243">
        <v>-101.3</v>
      </c>
      <c r="G256" s="283">
        <v>-5.0000000000000001E-4</v>
      </c>
      <c r="H256" s="496"/>
    </row>
    <row r="257" spans="2:8" x14ac:dyDescent="0.2">
      <c r="B257" s="216" t="s">
        <v>710</v>
      </c>
      <c r="C257" s="242">
        <v>2600.141090552147</v>
      </c>
      <c r="D257" s="242">
        <v>2562.6</v>
      </c>
      <c r="E257" s="243">
        <v>-40750</v>
      </c>
      <c r="F257" s="243">
        <v>-1044.26</v>
      </c>
      <c r="G257" s="283">
        <v>-5.1000000000000004E-3</v>
      </c>
      <c r="H257" s="496"/>
    </row>
    <row r="258" spans="2:8" x14ac:dyDescent="0.2">
      <c r="B258" s="216" t="s">
        <v>685</v>
      </c>
      <c r="C258" s="242">
        <v>3678.7776834782608</v>
      </c>
      <c r="D258" s="242">
        <v>3500.5</v>
      </c>
      <c r="E258" s="243">
        <v>-51750</v>
      </c>
      <c r="F258" s="243">
        <v>-1811.51</v>
      </c>
      <c r="G258" s="283">
        <v>-8.8000000000000005E-3</v>
      </c>
      <c r="H258" s="496"/>
    </row>
    <row r="259" spans="2:8" x14ac:dyDescent="0.2">
      <c r="B259" s="216" t="s">
        <v>13</v>
      </c>
      <c r="C259" s="242">
        <v>814.94336302852571</v>
      </c>
      <c r="D259" s="242">
        <v>735.9</v>
      </c>
      <c r="E259" s="243">
        <v>-1875500</v>
      </c>
      <c r="F259" s="243">
        <v>-13801.8</v>
      </c>
      <c r="G259" s="283">
        <v>-6.7000000000000004E-2</v>
      </c>
      <c r="H259" s="496"/>
    </row>
    <row r="260" spans="2:8" x14ac:dyDescent="0.2">
      <c r="B260" s="216" t="s">
        <v>142</v>
      </c>
      <c r="C260" s="242">
        <v>885.75</v>
      </c>
      <c r="D260" s="242">
        <v>887.9</v>
      </c>
      <c r="E260" s="243">
        <v>-8400</v>
      </c>
      <c r="F260" s="243">
        <v>-74.58</v>
      </c>
      <c r="G260" s="283">
        <v>-4.0000000000000002E-4</v>
      </c>
      <c r="H260" s="496"/>
    </row>
    <row r="261" spans="2:8" x14ac:dyDescent="0.2">
      <c r="B261" s="216" t="s">
        <v>25</v>
      </c>
      <c r="C261" s="242">
        <v>1266.7455310344828</v>
      </c>
      <c r="D261" s="242">
        <v>1211.8</v>
      </c>
      <c r="E261" s="243">
        <v>-812000</v>
      </c>
      <c r="F261" s="243">
        <v>-9839.82</v>
      </c>
      <c r="G261" s="283">
        <v>-4.7800000000000002E-2</v>
      </c>
      <c r="H261" s="496"/>
    </row>
    <row r="262" spans="2:8" x14ac:dyDescent="0.2">
      <c r="B262" s="216" t="s">
        <v>743</v>
      </c>
      <c r="C262" s="242">
        <v>149.25710000000001</v>
      </c>
      <c r="D262" s="242">
        <v>150.15</v>
      </c>
      <c r="E262" s="243">
        <v>-318200</v>
      </c>
      <c r="F262" s="243">
        <v>-477.78</v>
      </c>
      <c r="G262" s="283">
        <v>-2.3E-3</v>
      </c>
      <c r="H262" s="496"/>
    </row>
    <row r="263" spans="2:8" x14ac:dyDescent="0.2">
      <c r="B263" s="216" t="s">
        <v>676</v>
      </c>
      <c r="C263" s="242">
        <v>59.774063901949646</v>
      </c>
      <c r="D263" s="242">
        <v>59.07</v>
      </c>
      <c r="E263" s="243">
        <v>-4136650</v>
      </c>
      <c r="F263" s="243">
        <v>-2443.52</v>
      </c>
      <c r="G263" s="283">
        <v>-1.1900000000000001E-2</v>
      </c>
      <c r="H263" s="496"/>
    </row>
    <row r="264" spans="2:8" x14ac:dyDescent="0.2">
      <c r="B264" s="216" t="s">
        <v>713</v>
      </c>
      <c r="C264" s="242">
        <v>609.81698693181818</v>
      </c>
      <c r="D264" s="242">
        <v>573.85</v>
      </c>
      <c r="E264" s="243">
        <v>-176000</v>
      </c>
      <c r="F264" s="243">
        <v>-1009.98</v>
      </c>
      <c r="G264" s="283">
        <v>-4.8999999999999998E-3</v>
      </c>
      <c r="H264" s="496"/>
    </row>
    <row r="265" spans="2:8" x14ac:dyDescent="0.2">
      <c r="B265" s="216" t="s">
        <v>765</v>
      </c>
      <c r="C265" s="242">
        <v>78.672979999999995</v>
      </c>
      <c r="D265" s="242">
        <v>75.73</v>
      </c>
      <c r="E265" s="243">
        <v>-286000</v>
      </c>
      <c r="F265" s="243">
        <v>-216.59</v>
      </c>
      <c r="G265" s="283">
        <v>-1.1000000000000001E-3</v>
      </c>
      <c r="H265" s="496"/>
    </row>
    <row r="266" spans="2:8" x14ac:dyDescent="0.2">
      <c r="B266" s="216" t="s">
        <v>28</v>
      </c>
      <c r="C266" s="242">
        <v>295.17436748768472</v>
      </c>
      <c r="D266" s="242">
        <v>289.14999999999998</v>
      </c>
      <c r="E266" s="243">
        <v>-324800</v>
      </c>
      <c r="F266" s="243">
        <v>-939.16</v>
      </c>
      <c r="G266" s="283">
        <v>-4.5999999999999999E-3</v>
      </c>
      <c r="H266" s="496"/>
    </row>
    <row r="267" spans="2:8" x14ac:dyDescent="0.2">
      <c r="B267" s="216" t="s">
        <v>806</v>
      </c>
      <c r="C267" s="242">
        <v>1150.4000000000001</v>
      </c>
      <c r="D267" s="242">
        <v>1115</v>
      </c>
      <c r="E267" s="243">
        <v>-2500</v>
      </c>
      <c r="F267" s="243">
        <v>-27.88</v>
      </c>
      <c r="G267" s="283">
        <v>-1E-4</v>
      </c>
      <c r="H267" s="496"/>
    </row>
    <row r="268" spans="2:8" x14ac:dyDescent="0.2">
      <c r="B268" s="216" t="s">
        <v>749</v>
      </c>
      <c r="C268" s="242">
        <v>493.14433295454546</v>
      </c>
      <c r="D268" s="242">
        <v>471.45</v>
      </c>
      <c r="E268" s="243">
        <v>-88000</v>
      </c>
      <c r="F268" s="243">
        <v>-414.88</v>
      </c>
      <c r="G268" s="283">
        <v>-2E-3</v>
      </c>
      <c r="H268" s="496"/>
    </row>
    <row r="269" spans="2:8" x14ac:dyDescent="0.2">
      <c r="B269" s="216" t="s">
        <v>733</v>
      </c>
      <c r="C269" s="242">
        <v>1137.7093035314383</v>
      </c>
      <c r="D269" s="242">
        <v>1125.2</v>
      </c>
      <c r="E269" s="243">
        <v>-58050</v>
      </c>
      <c r="F269" s="243">
        <v>-653.17999999999995</v>
      </c>
      <c r="G269" s="283">
        <v>-3.2000000000000002E-3</v>
      </c>
      <c r="H269" s="496"/>
    </row>
    <row r="270" spans="2:8" x14ac:dyDescent="0.2">
      <c r="B270" s="216" t="s">
        <v>36</v>
      </c>
      <c r="C270" s="242">
        <v>373.16028319467551</v>
      </c>
      <c r="D270" s="242">
        <v>354.55</v>
      </c>
      <c r="E270" s="243">
        <v>-2404000</v>
      </c>
      <c r="F270" s="243">
        <v>-8523.3799999999992</v>
      </c>
      <c r="G270" s="283">
        <v>-4.1399999999999999E-2</v>
      </c>
      <c r="H270" s="496"/>
    </row>
    <row r="271" spans="2:8" x14ac:dyDescent="0.2">
      <c r="B271" s="216" t="s">
        <v>717</v>
      </c>
      <c r="C271" s="242">
        <v>3594.1845002764976</v>
      </c>
      <c r="D271" s="242">
        <v>3515</v>
      </c>
      <c r="E271" s="243">
        <v>-27125</v>
      </c>
      <c r="F271" s="243">
        <v>-953.44</v>
      </c>
      <c r="G271" s="283">
        <v>-4.5999999999999999E-3</v>
      </c>
      <c r="H271" s="496"/>
    </row>
    <row r="272" spans="2:8" x14ac:dyDescent="0.2">
      <c r="B272" s="216" t="s">
        <v>809</v>
      </c>
      <c r="C272" s="242">
        <v>998.5</v>
      </c>
      <c r="D272" s="242">
        <v>995.5</v>
      </c>
      <c r="E272" s="243">
        <v>-1700</v>
      </c>
      <c r="F272" s="243">
        <v>-16.920000000000002</v>
      </c>
      <c r="G272" s="283">
        <v>-1E-4</v>
      </c>
      <c r="H272" s="496"/>
    </row>
    <row r="273" spans="2:8" x14ac:dyDescent="0.2">
      <c r="B273" s="216" t="s">
        <v>721</v>
      </c>
      <c r="C273" s="242">
        <v>496.57665170454544</v>
      </c>
      <c r="D273" s="242">
        <v>497.9</v>
      </c>
      <c r="E273" s="243">
        <v>-176000</v>
      </c>
      <c r="F273" s="243">
        <v>-876.3</v>
      </c>
      <c r="G273" s="283">
        <v>-4.3E-3</v>
      </c>
      <c r="H273" s="496"/>
    </row>
    <row r="274" spans="2:8" x14ac:dyDescent="0.2">
      <c r="B274" s="216" t="s">
        <v>777</v>
      </c>
      <c r="C274" s="242">
        <v>737.96038113207544</v>
      </c>
      <c r="D274" s="242">
        <v>678.65</v>
      </c>
      <c r="E274" s="243">
        <v>-23850</v>
      </c>
      <c r="F274" s="243">
        <v>-161.86000000000001</v>
      </c>
      <c r="G274" s="283">
        <v>-8.0000000000000004E-4</v>
      </c>
      <c r="H274" s="496"/>
    </row>
    <row r="275" spans="2:8" x14ac:dyDescent="0.2">
      <c r="B275" s="216" t="s">
        <v>39</v>
      </c>
      <c r="C275" s="242">
        <v>3080.4246711574951</v>
      </c>
      <c r="D275" s="242">
        <v>2968.7</v>
      </c>
      <c r="E275" s="243">
        <v>-210800</v>
      </c>
      <c r="F275" s="243">
        <v>-6258.02</v>
      </c>
      <c r="G275" s="283">
        <v>-3.04E-2</v>
      </c>
      <c r="H275" s="496"/>
    </row>
    <row r="276" spans="2:8" x14ac:dyDescent="0.2">
      <c r="B276" s="216" t="s">
        <v>54</v>
      </c>
      <c r="C276" s="242">
        <v>12590.323547058824</v>
      </c>
      <c r="D276" s="242">
        <v>12344</v>
      </c>
      <c r="E276" s="243">
        <v>-1700</v>
      </c>
      <c r="F276" s="243">
        <v>-209.85</v>
      </c>
      <c r="G276" s="283">
        <v>-1E-3</v>
      </c>
      <c r="H276" s="496"/>
    </row>
    <row r="277" spans="2:8" x14ac:dyDescent="0.2">
      <c r="B277" s="216" t="s">
        <v>793</v>
      </c>
      <c r="C277" s="242">
        <v>1293.4499833333334</v>
      </c>
      <c r="D277" s="242">
        <v>1221.9000000000001</v>
      </c>
      <c r="E277" s="243">
        <v>-4800</v>
      </c>
      <c r="F277" s="243">
        <v>-58.65</v>
      </c>
      <c r="G277" s="283">
        <v>-2.9999999999999997E-4</v>
      </c>
      <c r="H277" s="496"/>
    </row>
    <row r="278" spans="2:8" x14ac:dyDescent="0.2">
      <c r="B278" s="216" t="s">
        <v>818</v>
      </c>
      <c r="C278" s="242">
        <v>1206.5999999999999</v>
      </c>
      <c r="D278" s="242">
        <v>1181.0999999999999</v>
      </c>
      <c r="E278" s="243">
        <v>-500</v>
      </c>
      <c r="F278" s="243">
        <v>-5.91</v>
      </c>
      <c r="G278" s="283">
        <v>0</v>
      </c>
      <c r="H278" s="496"/>
    </row>
    <row r="279" spans="2:8" x14ac:dyDescent="0.2">
      <c r="B279" s="216" t="s">
        <v>659</v>
      </c>
      <c r="C279" s="242">
        <v>78.167712837091372</v>
      </c>
      <c r="D279" s="242">
        <v>76.53</v>
      </c>
      <c r="E279" s="243">
        <v>-5521500</v>
      </c>
      <c r="F279" s="243">
        <v>-4225.6000000000004</v>
      </c>
      <c r="G279" s="283">
        <v>-2.0500000000000001E-2</v>
      </c>
      <c r="H279" s="496"/>
    </row>
    <row r="280" spans="2:8" x14ac:dyDescent="0.2">
      <c r="B280" s="216" t="s">
        <v>758</v>
      </c>
      <c r="C280" s="242">
        <v>1013.482382555781</v>
      </c>
      <c r="D280" s="242">
        <v>962.3</v>
      </c>
      <c r="E280" s="243">
        <v>-24650</v>
      </c>
      <c r="F280" s="243">
        <v>-237.21</v>
      </c>
      <c r="G280" s="283">
        <v>-1.1999999999999999E-3</v>
      </c>
      <c r="H280" s="496"/>
    </row>
    <row r="281" spans="2:8" x14ac:dyDescent="0.2">
      <c r="B281" s="216" t="s">
        <v>771</v>
      </c>
      <c r="C281" s="242">
        <v>793.8346153846154</v>
      </c>
      <c r="D281" s="242">
        <v>756.3</v>
      </c>
      <c r="E281" s="243">
        <v>-25350</v>
      </c>
      <c r="F281" s="243">
        <v>-191.72</v>
      </c>
      <c r="G281" s="283">
        <v>-8.9999999999999998E-4</v>
      </c>
      <c r="H281" s="496"/>
    </row>
    <row r="282" spans="2:8" x14ac:dyDescent="0.2">
      <c r="B282" s="216" t="s">
        <v>821</v>
      </c>
      <c r="C282" s="242">
        <v>1492.1</v>
      </c>
      <c r="D282" s="242">
        <v>1504.8</v>
      </c>
      <c r="E282" s="243">
        <v>-350</v>
      </c>
      <c r="F282" s="243">
        <v>-5.27</v>
      </c>
      <c r="G282" s="283">
        <v>0</v>
      </c>
      <c r="H282" s="496"/>
    </row>
    <row r="283" spans="2:8" x14ac:dyDescent="0.2">
      <c r="B283" s="216" t="s">
        <v>669</v>
      </c>
      <c r="C283" s="242">
        <v>108.66376109422492</v>
      </c>
      <c r="D283" s="242">
        <v>100.98</v>
      </c>
      <c r="E283" s="243">
        <v>-2632000</v>
      </c>
      <c r="F283" s="243">
        <v>-2657.79</v>
      </c>
      <c r="G283" s="283">
        <v>-1.29E-2</v>
      </c>
      <c r="H283" s="496"/>
    </row>
    <row r="284" spans="2:8" x14ac:dyDescent="0.2">
      <c r="B284" s="216" t="s">
        <v>704</v>
      </c>
      <c r="C284" s="242">
        <v>233.88822010846891</v>
      </c>
      <c r="D284" s="242">
        <v>224.65</v>
      </c>
      <c r="E284" s="243">
        <v>-479400</v>
      </c>
      <c r="F284" s="243">
        <v>-1076.97</v>
      </c>
      <c r="G284" s="283">
        <v>-5.1999999999999998E-3</v>
      </c>
      <c r="H284" s="496"/>
    </row>
    <row r="285" spans="2:8" x14ac:dyDescent="0.2">
      <c r="B285" s="216" t="s">
        <v>131</v>
      </c>
      <c r="C285" s="242">
        <v>1404.1617169375534</v>
      </c>
      <c r="D285" s="242">
        <v>1349.3</v>
      </c>
      <c r="E285" s="243">
        <v>-584500</v>
      </c>
      <c r="F285" s="243">
        <v>-7886.66</v>
      </c>
      <c r="G285" s="283">
        <v>-3.8300000000000001E-2</v>
      </c>
      <c r="H285" s="496"/>
    </row>
    <row r="286" spans="2:8" x14ac:dyDescent="0.2">
      <c r="B286" s="216" t="s">
        <v>645</v>
      </c>
      <c r="C286" s="242">
        <v>304.48905257419744</v>
      </c>
      <c r="D286" s="242">
        <v>291.3</v>
      </c>
      <c r="E286" s="243">
        <v>-247650</v>
      </c>
      <c r="F286" s="243">
        <v>-721.4</v>
      </c>
      <c r="G286" s="283">
        <v>-3.5000000000000001E-3</v>
      </c>
      <c r="H286" s="496"/>
    </row>
    <row r="287" spans="2:8" x14ac:dyDescent="0.2">
      <c r="B287" s="216" t="s">
        <v>727</v>
      </c>
      <c r="C287" s="242">
        <v>149.87601296296296</v>
      </c>
      <c r="D287" s="242">
        <v>153.72999999999999</v>
      </c>
      <c r="E287" s="243">
        <v>-507600</v>
      </c>
      <c r="F287" s="243">
        <v>-780.33</v>
      </c>
      <c r="G287" s="283">
        <v>-3.8E-3</v>
      </c>
      <c r="H287" s="496"/>
    </row>
    <row r="288" spans="2:8" x14ac:dyDescent="0.2">
      <c r="B288" s="216" t="s">
        <v>648</v>
      </c>
      <c r="C288" s="242">
        <v>1024.1505095415118</v>
      </c>
      <c r="D288" s="242">
        <v>984.3</v>
      </c>
      <c r="E288" s="243">
        <v>-605250</v>
      </c>
      <c r="F288" s="243">
        <v>-5957.48</v>
      </c>
      <c r="G288" s="283">
        <v>-2.8899999999999999E-2</v>
      </c>
      <c r="H288" s="496"/>
    </row>
    <row r="289" spans="2:8" x14ac:dyDescent="0.2">
      <c r="B289" s="216" t="s">
        <v>663</v>
      </c>
      <c r="C289" s="242">
        <v>930.91282866842698</v>
      </c>
      <c r="D289" s="242">
        <v>875.5</v>
      </c>
      <c r="E289" s="243">
        <v>-397650</v>
      </c>
      <c r="F289" s="243">
        <v>-3481.43</v>
      </c>
      <c r="G289" s="283">
        <v>-1.6899999999999998E-2</v>
      </c>
      <c r="H289" s="496"/>
    </row>
    <row r="290" spans="2:8" x14ac:dyDescent="0.2">
      <c r="B290" s="216" t="s">
        <v>789</v>
      </c>
      <c r="C290" s="242">
        <v>1841.8916511111111</v>
      </c>
      <c r="D290" s="242">
        <v>1787</v>
      </c>
      <c r="E290" s="243">
        <v>-4500</v>
      </c>
      <c r="F290" s="243">
        <v>-80.42</v>
      </c>
      <c r="G290" s="283">
        <v>-4.0000000000000002E-4</v>
      </c>
      <c r="H290" s="496"/>
    </row>
    <row r="291" spans="2:8" x14ac:dyDescent="0.2">
      <c r="B291" s="216" t="s">
        <v>139</v>
      </c>
      <c r="C291" s="242">
        <v>1792.3013931589537</v>
      </c>
      <c r="D291" s="242">
        <v>1765.5</v>
      </c>
      <c r="E291" s="243">
        <v>-24850</v>
      </c>
      <c r="F291" s="243">
        <v>-438.73</v>
      </c>
      <c r="G291" s="283">
        <v>-2.0999999999999999E-3</v>
      </c>
      <c r="H291" s="496"/>
    </row>
    <row r="292" spans="2:8" x14ac:dyDescent="0.2">
      <c r="B292" s="216" t="s">
        <v>60</v>
      </c>
      <c r="C292" s="242">
        <v>2602.7883000000002</v>
      </c>
      <c r="D292" s="242">
        <v>2361.6</v>
      </c>
      <c r="E292" s="243">
        <v>-81200</v>
      </c>
      <c r="F292" s="243">
        <v>-1917.62</v>
      </c>
      <c r="G292" s="283">
        <v>-9.2999999999999992E-3</v>
      </c>
      <c r="H292" s="496"/>
    </row>
    <row r="293" spans="2:8" x14ac:dyDescent="0.2">
      <c r="B293" s="216" t="s">
        <v>803</v>
      </c>
      <c r="C293" s="242">
        <v>300.44638571428573</v>
      </c>
      <c r="D293" s="242">
        <v>296.85000000000002</v>
      </c>
      <c r="E293" s="243">
        <v>-11200</v>
      </c>
      <c r="F293" s="243">
        <v>-33.25</v>
      </c>
      <c r="G293" s="283">
        <v>-2.0000000000000001E-4</v>
      </c>
      <c r="H293" s="496"/>
    </row>
    <row r="294" spans="2:8" x14ac:dyDescent="0.2">
      <c r="B294" s="216" t="s">
        <v>651</v>
      </c>
      <c r="C294" s="242">
        <v>194.2860994197292</v>
      </c>
      <c r="D294" s="242">
        <v>192.45</v>
      </c>
      <c r="E294" s="243">
        <v>-2843500</v>
      </c>
      <c r="F294" s="243">
        <v>-5472.32</v>
      </c>
      <c r="G294" s="283">
        <v>-2.6599999999999999E-2</v>
      </c>
      <c r="H294" s="496"/>
    </row>
    <row r="295" spans="2:8" x14ac:dyDescent="0.2">
      <c r="B295" s="216" t="s">
        <v>697</v>
      </c>
      <c r="C295" s="242">
        <v>391.2145756337859</v>
      </c>
      <c r="D295" s="242">
        <v>380.65</v>
      </c>
      <c r="E295" s="243">
        <v>-416150</v>
      </c>
      <c r="F295" s="243">
        <v>-1584.07</v>
      </c>
      <c r="G295" s="283">
        <v>-7.7000000000000002E-3</v>
      </c>
      <c r="H295" s="496"/>
    </row>
    <row r="296" spans="2:8" x14ac:dyDescent="0.2">
      <c r="B296" s="216" t="s">
        <v>755</v>
      </c>
      <c r="C296" s="242">
        <v>1059.7264857142857</v>
      </c>
      <c r="D296" s="242">
        <v>1020</v>
      </c>
      <c r="E296" s="243">
        <v>-26950</v>
      </c>
      <c r="F296" s="243">
        <v>-274.89</v>
      </c>
      <c r="G296" s="283">
        <v>-1.2999999999999999E-3</v>
      </c>
      <c r="H296" s="496"/>
    </row>
    <row r="297" spans="2:8" x14ac:dyDescent="0.2">
      <c r="B297" s="216" t="s">
        <v>135</v>
      </c>
      <c r="C297" s="242">
        <v>4027.7871450134771</v>
      </c>
      <c r="D297" s="242">
        <v>3962.9</v>
      </c>
      <c r="E297" s="243">
        <v>-46375</v>
      </c>
      <c r="F297" s="243">
        <v>-1837.79</v>
      </c>
      <c r="G297" s="283">
        <v>-8.8999999999999999E-3</v>
      </c>
      <c r="H297" s="496"/>
    </row>
    <row r="298" spans="2:8" x14ac:dyDescent="0.2">
      <c r="B298" s="216" t="s">
        <v>666</v>
      </c>
      <c r="C298" s="242">
        <v>11133.979655172414</v>
      </c>
      <c r="D298" s="242">
        <v>10772</v>
      </c>
      <c r="E298" s="243">
        <v>-24650</v>
      </c>
      <c r="F298" s="243">
        <v>-2655.3</v>
      </c>
      <c r="G298" s="283">
        <v>-1.29E-2</v>
      </c>
      <c r="H298" s="496"/>
    </row>
    <row r="299" spans="2:8" x14ac:dyDescent="0.2">
      <c r="B299" s="216" t="s">
        <v>47</v>
      </c>
      <c r="C299" s="242">
        <v>1202.7918322657342</v>
      </c>
      <c r="D299" s="242">
        <v>1167.5</v>
      </c>
      <c r="E299" s="243">
        <v>-715000</v>
      </c>
      <c r="F299" s="243">
        <v>-8347.6299999999992</v>
      </c>
      <c r="G299" s="283">
        <v>-4.0500000000000001E-2</v>
      </c>
      <c r="H299" s="496"/>
    </row>
    <row r="300" spans="2:8" x14ac:dyDescent="0.2">
      <c r="B300" s="216" t="s">
        <v>739</v>
      </c>
      <c r="C300" s="242">
        <v>387.13860003864733</v>
      </c>
      <c r="D300" s="242">
        <v>385.45</v>
      </c>
      <c r="E300" s="243">
        <v>-129375</v>
      </c>
      <c r="F300" s="243">
        <v>-498.68</v>
      </c>
      <c r="G300" s="283">
        <v>-2.3999999999999998E-3</v>
      </c>
      <c r="H300" s="496"/>
    </row>
    <row r="301" spans="2:8" x14ac:dyDescent="0.2">
      <c r="B301" s="216" t="s">
        <v>783</v>
      </c>
      <c r="C301" s="242">
        <v>18.096795454545454</v>
      </c>
      <c r="D301" s="242">
        <v>17.350000000000001</v>
      </c>
      <c r="E301" s="243">
        <v>-684200</v>
      </c>
      <c r="F301" s="243">
        <v>-118.71</v>
      </c>
      <c r="G301" s="283">
        <v>-5.9999999999999995E-4</v>
      </c>
      <c r="H301" s="496"/>
    </row>
    <row r="302" spans="2:8" x14ac:dyDescent="0.2">
      <c r="B302" s="216" t="s">
        <v>700</v>
      </c>
      <c r="C302" s="242">
        <v>232.05358777292577</v>
      </c>
      <c r="D302" s="242">
        <v>229.64</v>
      </c>
      <c r="E302" s="243">
        <v>-555325</v>
      </c>
      <c r="F302" s="243">
        <v>-1275.25</v>
      </c>
      <c r="G302" s="283">
        <v>-6.1999999999999998E-3</v>
      </c>
      <c r="H302" s="496"/>
    </row>
    <row r="303" spans="2:8" x14ac:dyDescent="0.2">
      <c r="B303" s="278" t="s">
        <v>128</v>
      </c>
      <c r="C303" s="279"/>
      <c r="D303" s="279"/>
      <c r="E303" s="280"/>
      <c r="F303" s="280">
        <v>-136047.04999999999</v>
      </c>
      <c r="G303" s="283">
        <v>-0.66090000000000004</v>
      </c>
      <c r="H303" s="496"/>
    </row>
    <row r="304" spans="2:8" x14ac:dyDescent="0.2">
      <c r="B304" s="278" t="s">
        <v>165</v>
      </c>
      <c r="C304" s="279"/>
      <c r="D304" s="279"/>
      <c r="E304" s="280"/>
      <c r="F304" s="280">
        <v>-136047.04999999999</v>
      </c>
      <c r="G304" s="283">
        <v>-0.66090000000000004</v>
      </c>
      <c r="H304" s="497"/>
    </row>
    <row r="305" spans="2:8" x14ac:dyDescent="0.2">
      <c r="B305" s="68"/>
      <c r="C305" s="92"/>
      <c r="D305" s="92"/>
      <c r="E305" s="64"/>
      <c r="F305" s="64"/>
      <c r="G305" s="64"/>
      <c r="H305" s="66"/>
    </row>
    <row r="306" spans="2:8" x14ac:dyDescent="0.2">
      <c r="B306" s="68" t="s">
        <v>1640</v>
      </c>
      <c r="C306" s="92"/>
      <c r="D306" s="92"/>
      <c r="E306" s="64"/>
      <c r="F306" s="64"/>
      <c r="G306" s="64"/>
      <c r="H306" s="66"/>
    </row>
    <row r="307" spans="2:8" x14ac:dyDescent="0.2">
      <c r="B307" s="88" t="s">
        <v>1445</v>
      </c>
      <c r="C307" s="88"/>
      <c r="D307" s="64"/>
      <c r="F307" s="64"/>
      <c r="G307" s="64"/>
      <c r="H307" s="66"/>
    </row>
    <row r="308" spans="2:8" x14ac:dyDescent="0.2">
      <c r="B308" s="88" t="s">
        <v>1446</v>
      </c>
      <c r="C308" s="93">
        <v>22635</v>
      </c>
      <c r="D308" s="92"/>
      <c r="F308" s="244"/>
      <c r="G308" s="244"/>
      <c r="H308" s="245"/>
    </row>
    <row r="309" spans="2:8" x14ac:dyDescent="0.2">
      <c r="B309" s="88" t="s">
        <v>1447</v>
      </c>
      <c r="C309" s="93">
        <v>22635</v>
      </c>
      <c r="D309" s="92"/>
      <c r="F309" s="244"/>
      <c r="G309" s="244"/>
      <c r="H309" s="245"/>
    </row>
    <row r="310" spans="2:8" x14ac:dyDescent="0.2">
      <c r="B310" s="88" t="s">
        <v>1448</v>
      </c>
      <c r="C310" s="93">
        <v>0</v>
      </c>
      <c r="D310" s="92"/>
      <c r="F310" s="244"/>
      <c r="G310" s="244"/>
      <c r="H310" s="245"/>
    </row>
    <row r="311" spans="2:8" x14ac:dyDescent="0.2">
      <c r="B311" s="88" t="s">
        <v>1449</v>
      </c>
      <c r="C311" s="93">
        <v>0</v>
      </c>
      <c r="D311" s="92"/>
      <c r="F311" s="244"/>
      <c r="G311" s="244"/>
      <c r="H311" s="245"/>
    </row>
    <row r="312" spans="2:8" x14ac:dyDescent="0.2">
      <c r="B312" s="88" t="s">
        <v>1450</v>
      </c>
      <c r="C312" s="93">
        <v>13909919364.639908</v>
      </c>
      <c r="D312" s="64"/>
      <c r="F312" s="94"/>
      <c r="G312" s="94"/>
      <c r="H312" s="66"/>
    </row>
    <row r="313" spans="2:8" x14ac:dyDescent="0.2">
      <c r="B313" s="88" t="s">
        <v>1451</v>
      </c>
      <c r="C313" s="93">
        <v>15512535089.499994</v>
      </c>
      <c r="D313" s="64"/>
      <c r="F313" s="94"/>
      <c r="G313" s="94"/>
      <c r="H313" s="66"/>
    </row>
    <row r="314" spans="2:8" x14ac:dyDescent="0.2">
      <c r="B314" s="88" t="s">
        <v>1452</v>
      </c>
      <c r="C314" s="93">
        <v>0</v>
      </c>
      <c r="D314" s="64"/>
      <c r="F314" s="94"/>
      <c r="G314" s="95"/>
      <c r="H314" s="66"/>
    </row>
    <row r="315" spans="2:8" x14ac:dyDescent="0.2">
      <c r="B315" s="88" t="s">
        <v>1453</v>
      </c>
      <c r="C315" s="93">
        <v>1602615724.8600864</v>
      </c>
      <c r="D315" s="64"/>
      <c r="F315" s="94"/>
      <c r="G315" s="96"/>
      <c r="H315" s="66"/>
    </row>
    <row r="316" spans="2:8" x14ac:dyDescent="0.2">
      <c r="B316" s="63"/>
      <c r="C316" s="64"/>
      <c r="D316" s="64"/>
      <c r="E316" s="67"/>
      <c r="F316" s="94"/>
      <c r="G316" s="96"/>
      <c r="H316" s="66"/>
    </row>
    <row r="317" spans="2:8" x14ac:dyDescent="0.2">
      <c r="B317" s="246" t="s">
        <v>1454</v>
      </c>
      <c r="C317" s="99"/>
      <c r="D317" s="99"/>
      <c r="E317" s="97"/>
      <c r="F317" s="94"/>
      <c r="G317" s="94"/>
      <c r="H317" s="66"/>
    </row>
    <row r="318" spans="2:8" x14ac:dyDescent="0.2">
      <c r="B318" s="63"/>
      <c r="C318" s="64"/>
      <c r="D318" s="64"/>
      <c r="E318" s="97"/>
      <c r="F318" s="97"/>
      <c r="G318" s="94"/>
      <c r="H318" s="66"/>
    </row>
    <row r="319" spans="2:8" x14ac:dyDescent="0.2">
      <c r="B319" s="68" t="s">
        <v>1641</v>
      </c>
      <c r="C319" s="64"/>
      <c r="D319" s="64"/>
      <c r="E319" s="97"/>
      <c r="F319" s="97"/>
      <c r="G319" s="94"/>
      <c r="H319" s="66"/>
    </row>
    <row r="320" spans="2:8" x14ac:dyDescent="0.2">
      <c r="B320" s="63"/>
      <c r="C320" s="64"/>
      <c r="D320" s="64"/>
      <c r="E320" s="97"/>
      <c r="F320" s="97"/>
      <c r="G320" s="94"/>
      <c r="H320" s="66"/>
    </row>
    <row r="321" spans="2:10" x14ac:dyDescent="0.2">
      <c r="B321" s="68" t="s">
        <v>1642</v>
      </c>
      <c r="C321" s="92"/>
      <c r="D321" s="92"/>
      <c r="E321" s="64"/>
      <c r="F321" s="100"/>
      <c r="G321" s="64"/>
      <c r="H321" s="66"/>
    </row>
    <row r="322" spans="2:10" x14ac:dyDescent="0.2">
      <c r="B322" s="98"/>
      <c r="C322" s="99"/>
      <c r="D322" s="99"/>
      <c r="E322" s="64"/>
      <c r="F322" s="64"/>
      <c r="G322" s="64"/>
      <c r="H322" s="66"/>
    </row>
    <row r="323" spans="2:10" x14ac:dyDescent="0.2">
      <c r="B323" s="68" t="s">
        <v>1692</v>
      </c>
      <c r="C323" s="92"/>
      <c r="D323" s="92"/>
      <c r="E323" s="64"/>
      <c r="F323" s="100"/>
      <c r="G323" s="64"/>
      <c r="H323" s="66"/>
    </row>
    <row r="324" spans="2:10" x14ac:dyDescent="0.2">
      <c r="B324" s="68"/>
      <c r="C324" s="92"/>
      <c r="D324" s="92"/>
      <c r="E324" s="64"/>
      <c r="F324" s="100"/>
      <c r="G324" s="64"/>
      <c r="H324" s="66"/>
    </row>
    <row r="325" spans="2:10" x14ac:dyDescent="0.2">
      <c r="B325" s="68" t="s">
        <v>1644</v>
      </c>
      <c r="C325" s="64"/>
      <c r="D325" s="64"/>
      <c r="E325" s="64"/>
      <c r="F325" s="64"/>
      <c r="G325" s="64"/>
      <c r="H325" s="66"/>
    </row>
    <row r="326" spans="2:10" x14ac:dyDescent="0.2">
      <c r="B326" s="101"/>
      <c r="C326" s="102"/>
      <c r="D326" s="102"/>
      <c r="E326" s="102"/>
      <c r="F326" s="102"/>
      <c r="G326" s="102"/>
      <c r="H326" s="247"/>
    </row>
    <row r="328" spans="2:10" x14ac:dyDescent="0.2">
      <c r="B328" s="492" t="s">
        <v>1580</v>
      </c>
      <c r="C328" s="492"/>
      <c r="D328" s="492"/>
      <c r="E328" s="492"/>
      <c r="F328" s="492"/>
      <c r="G328" s="492"/>
      <c r="H328" s="492"/>
      <c r="I328" s="492"/>
      <c r="J328" s="88"/>
    </row>
    <row r="329" spans="2:10" x14ac:dyDescent="0.2">
      <c r="B329" s="479" t="s">
        <v>1459</v>
      </c>
      <c r="C329" s="480" t="s">
        <v>1460</v>
      </c>
      <c r="D329" s="480"/>
      <c r="E329" s="107" t="s">
        <v>1461</v>
      </c>
      <c r="F329" s="107" t="s">
        <v>1462</v>
      </c>
      <c r="G329" s="480" t="s">
        <v>1463</v>
      </c>
      <c r="H329" s="480"/>
      <c r="I329" s="480"/>
      <c r="J329" s="480"/>
    </row>
    <row r="330" spans="2:10" ht="12" customHeight="1" x14ac:dyDescent="0.2">
      <c r="B330" s="479"/>
      <c r="C330" s="108" t="s">
        <v>1600</v>
      </c>
      <c r="D330" s="108" t="s">
        <v>1601</v>
      </c>
      <c r="E330" s="108" t="s">
        <v>1602</v>
      </c>
      <c r="F330" s="108" t="s">
        <v>1537</v>
      </c>
      <c r="G330" s="108" t="s">
        <v>1600</v>
      </c>
      <c r="H330" s="108" t="s">
        <v>1601</v>
      </c>
      <c r="I330" s="108" t="s">
        <v>1602</v>
      </c>
      <c r="J330" s="108" t="s">
        <v>1537</v>
      </c>
    </row>
    <row r="331" spans="2:10" x14ac:dyDescent="0.2">
      <c r="B331" s="109" t="s">
        <v>1603</v>
      </c>
      <c r="C331" s="110">
        <v>6.7692760597355184E-2</v>
      </c>
      <c r="D331" s="110">
        <v>7.1431070928641649E-2</v>
      </c>
      <c r="E331" s="110">
        <v>7.5827865131440797E-2</v>
      </c>
      <c r="F331" s="110">
        <v>6.5330221833331814E-2</v>
      </c>
      <c r="G331" s="230">
        <v>11710.699999999999</v>
      </c>
      <c r="H331" s="230">
        <v>11809.8</v>
      </c>
      <c r="I331" s="230">
        <v>11926.981875633996</v>
      </c>
      <c r="J331" s="230">
        <v>11648.322634461249</v>
      </c>
    </row>
    <row r="332" spans="2:10" x14ac:dyDescent="0.2">
      <c r="B332" s="112" t="s">
        <v>1645</v>
      </c>
      <c r="C332" s="110">
        <v>6.0703772474072659E-2</v>
      </c>
      <c r="D332" s="110">
        <v>6.4415823201232847E-2</v>
      </c>
      <c r="E332" s="110">
        <v>7.285581049818135E-2</v>
      </c>
      <c r="F332" s="110">
        <v>5.2956797125490951E-2</v>
      </c>
      <c r="G332" s="230">
        <v>10607.037724740727</v>
      </c>
      <c r="H332" s="230">
        <v>10644.158232012329</v>
      </c>
      <c r="I332" s="230">
        <v>10728.558104981814</v>
      </c>
      <c r="J332" s="230">
        <v>10529.56797125491</v>
      </c>
    </row>
    <row r="333" spans="2:10" x14ac:dyDescent="0.2">
      <c r="B333" s="112" t="s">
        <v>1646</v>
      </c>
      <c r="C333" s="110" t="s">
        <v>1587</v>
      </c>
      <c r="D333" s="110" t="s">
        <v>1587</v>
      </c>
      <c r="E333" s="110" t="s">
        <v>1587</v>
      </c>
      <c r="F333" s="110" t="s">
        <v>1587</v>
      </c>
      <c r="G333" s="110" t="s">
        <v>1587</v>
      </c>
      <c r="H333" s="110" t="s">
        <v>1587</v>
      </c>
      <c r="I333" s="110" t="s">
        <v>1587</v>
      </c>
      <c r="J333" s="110" t="s">
        <v>1587</v>
      </c>
    </row>
    <row r="334" spans="2:10" x14ac:dyDescent="0.2">
      <c r="B334" s="116"/>
      <c r="C334" s="116"/>
      <c r="D334" s="116"/>
      <c r="E334" s="116"/>
      <c r="F334" s="116"/>
      <c r="G334" s="116"/>
      <c r="H334" s="116"/>
      <c r="I334" s="116"/>
      <c r="J334" s="116"/>
    </row>
    <row r="335" spans="2:10" x14ac:dyDescent="0.2">
      <c r="B335" s="116"/>
      <c r="C335" s="116"/>
      <c r="D335" s="116"/>
      <c r="E335" s="116"/>
      <c r="F335" s="116"/>
      <c r="G335" s="116"/>
      <c r="H335" s="116"/>
      <c r="I335" s="116"/>
      <c r="J335" s="116"/>
    </row>
    <row r="336" spans="2:10" x14ac:dyDescent="0.2">
      <c r="B336" s="478" t="s">
        <v>1604</v>
      </c>
      <c r="C336" s="478"/>
      <c r="D336" s="478"/>
      <c r="E336" s="478"/>
      <c r="F336" s="478"/>
      <c r="G336" s="116"/>
      <c r="H336" s="116"/>
      <c r="I336" s="116"/>
      <c r="J336" s="116"/>
    </row>
    <row r="337" spans="2:10" ht="12" customHeight="1" x14ac:dyDescent="0.2">
      <c r="B337" s="117"/>
      <c r="C337" s="248" t="s">
        <v>1603</v>
      </c>
      <c r="D337" s="108" t="s">
        <v>1645</v>
      </c>
      <c r="E337" s="108" t="s">
        <v>1646</v>
      </c>
      <c r="F337" s="116"/>
      <c r="G337" s="116"/>
      <c r="H337" s="249"/>
      <c r="I337" s="116"/>
      <c r="J337" s="116"/>
    </row>
    <row r="338" spans="2:10" x14ac:dyDescent="0.2">
      <c r="B338" s="109" t="s">
        <v>1470</v>
      </c>
      <c r="C338" s="88">
        <v>290000</v>
      </c>
      <c r="D338" s="88">
        <v>120000</v>
      </c>
      <c r="E338" s="250" t="s">
        <v>1587</v>
      </c>
      <c r="F338" s="116"/>
      <c r="G338" s="116"/>
      <c r="H338" s="116"/>
      <c r="I338" s="116"/>
      <c r="J338" s="116"/>
    </row>
    <row r="339" spans="2:10" x14ac:dyDescent="0.2">
      <c r="B339" s="109" t="s">
        <v>1471</v>
      </c>
      <c r="C339" s="119">
        <v>313767.44839567703</v>
      </c>
      <c r="D339" s="119">
        <v>123880.448155734</v>
      </c>
      <c r="E339" s="250" t="s">
        <v>1587</v>
      </c>
      <c r="F339" s="116"/>
      <c r="G339" s="116"/>
      <c r="H339" s="116"/>
      <c r="I339" s="116"/>
      <c r="J339" s="116"/>
    </row>
    <row r="340" spans="2:10" x14ac:dyDescent="0.2">
      <c r="B340" s="109" t="s">
        <v>1472</v>
      </c>
      <c r="C340" s="120">
        <v>6.4531743845480003</v>
      </c>
      <c r="D340" s="120">
        <v>6.0850017163981196</v>
      </c>
      <c r="E340" s="250" t="s">
        <v>1587</v>
      </c>
      <c r="F340" s="116"/>
      <c r="G340" s="116"/>
      <c r="H340" s="116"/>
      <c r="I340" s="116"/>
      <c r="J340" s="116"/>
    </row>
    <row r="341" spans="2:10" x14ac:dyDescent="0.2">
      <c r="B341" s="109" t="s">
        <v>1605</v>
      </c>
      <c r="C341" s="120">
        <v>7.5212083755075403</v>
      </c>
      <c r="D341" s="120">
        <v>7.4531190384465598</v>
      </c>
      <c r="E341" s="250" t="s">
        <v>1587</v>
      </c>
      <c r="F341" s="116"/>
      <c r="G341" s="116"/>
      <c r="H341" s="116"/>
      <c r="I341" s="116"/>
      <c r="J341" s="116"/>
    </row>
    <row r="342" spans="2:10" x14ac:dyDescent="0.2">
      <c r="B342" s="109" t="s">
        <v>1606</v>
      </c>
      <c r="C342" s="120">
        <v>5.8614652496797701</v>
      </c>
      <c r="D342" s="120">
        <v>4.2728846235979496</v>
      </c>
      <c r="E342" s="250" t="s">
        <v>1587</v>
      </c>
      <c r="F342" s="116"/>
      <c r="G342" s="116"/>
      <c r="H342" s="116"/>
      <c r="I342" s="116"/>
      <c r="J342" s="116"/>
    </row>
    <row r="343" spans="2:10" x14ac:dyDescent="0.2">
      <c r="B343" s="116"/>
      <c r="C343" s="116"/>
      <c r="D343" s="116"/>
      <c r="E343" s="116"/>
      <c r="F343" s="116"/>
      <c r="G343" s="116"/>
      <c r="H343" s="116"/>
      <c r="I343" s="116"/>
      <c r="J343" s="116"/>
    </row>
    <row r="344" spans="2:10" x14ac:dyDescent="0.2">
      <c r="B344" s="478" t="s">
        <v>1607</v>
      </c>
      <c r="C344" s="478"/>
      <c r="D344" s="478"/>
      <c r="E344" s="478"/>
      <c r="F344" s="478"/>
      <c r="G344" s="116"/>
      <c r="H344" s="116"/>
      <c r="I344" s="116"/>
      <c r="J344" s="116"/>
    </row>
    <row r="345" spans="2:10" ht="12" customHeight="1" x14ac:dyDescent="0.2">
      <c r="B345" s="117"/>
      <c r="C345" s="118" t="s">
        <v>1603</v>
      </c>
      <c r="D345" s="108" t="s">
        <v>1645</v>
      </c>
      <c r="E345" s="108" t="s">
        <v>1646</v>
      </c>
      <c r="F345" s="116"/>
      <c r="G345" s="116"/>
      <c r="H345" s="249"/>
      <c r="I345" s="116"/>
      <c r="J345" s="116"/>
    </row>
    <row r="346" spans="2:10" x14ac:dyDescent="0.2">
      <c r="B346" s="109" t="s">
        <v>1470</v>
      </c>
      <c r="C346" s="88">
        <v>290000</v>
      </c>
      <c r="D346" s="88">
        <v>120000</v>
      </c>
      <c r="E346" s="250" t="s">
        <v>1587</v>
      </c>
      <c r="F346" s="116"/>
      <c r="G346" s="116"/>
      <c r="H346" s="116"/>
      <c r="I346" s="116"/>
      <c r="J346" s="116"/>
    </row>
    <row r="347" spans="2:10" x14ac:dyDescent="0.2">
      <c r="B347" s="109" t="s">
        <v>1471</v>
      </c>
      <c r="C347" s="119">
        <v>315170.31167125702</v>
      </c>
      <c r="D347" s="119">
        <v>124114.359091026</v>
      </c>
      <c r="E347" s="250" t="s">
        <v>1587</v>
      </c>
      <c r="F347" s="116"/>
      <c r="G347" s="116"/>
      <c r="H347" s="116"/>
      <c r="I347" s="116"/>
      <c r="J347" s="116"/>
    </row>
    <row r="348" spans="2:10" x14ac:dyDescent="0.2">
      <c r="B348" s="109" t="s">
        <v>1472</v>
      </c>
      <c r="C348" s="120">
        <v>6.8260851703205798</v>
      </c>
      <c r="D348" s="120">
        <v>6.4552971596308302</v>
      </c>
      <c r="E348" s="250" t="s">
        <v>1587</v>
      </c>
      <c r="F348" s="116"/>
      <c r="G348" s="116"/>
      <c r="H348" s="116"/>
      <c r="I348" s="116"/>
      <c r="J348" s="116"/>
    </row>
    <row r="349" spans="2:10" x14ac:dyDescent="0.2">
      <c r="B349" s="109" t="s">
        <v>1605</v>
      </c>
      <c r="C349" s="120">
        <v>7.5212083755075403</v>
      </c>
      <c r="D349" s="120">
        <v>7.4531190384465598</v>
      </c>
      <c r="E349" s="250" t="s">
        <v>1587</v>
      </c>
      <c r="F349" s="116"/>
      <c r="G349" s="116"/>
      <c r="H349" s="116"/>
      <c r="I349" s="116"/>
      <c r="J349" s="116"/>
    </row>
    <row r="350" spans="2:10" x14ac:dyDescent="0.2">
      <c r="B350" s="109" t="s">
        <v>1606</v>
      </c>
      <c r="C350" s="120">
        <v>5.8614652496797701</v>
      </c>
      <c r="D350" s="120">
        <v>4.2728846235979496</v>
      </c>
      <c r="E350" s="250" t="s">
        <v>1587</v>
      </c>
      <c r="F350" s="116"/>
      <c r="G350" s="116"/>
      <c r="H350" s="116"/>
      <c r="I350" s="116"/>
      <c r="J350" s="116"/>
    </row>
    <row r="351" spans="2:10" x14ac:dyDescent="0.2">
      <c r="B351" s="116"/>
      <c r="C351" s="116"/>
      <c r="D351" s="116"/>
      <c r="E351" s="116"/>
      <c r="F351" s="116"/>
      <c r="G351" s="116"/>
      <c r="H351" s="116"/>
      <c r="I351" s="116"/>
      <c r="J351" s="116"/>
    </row>
    <row r="352" spans="2:10" x14ac:dyDescent="0.2">
      <c r="B352" s="107" t="s">
        <v>1649</v>
      </c>
      <c r="C352" s="117"/>
      <c r="D352" s="116"/>
      <c r="E352" s="116"/>
      <c r="F352" s="116"/>
      <c r="G352" s="116"/>
      <c r="H352" s="116"/>
      <c r="I352" s="116"/>
      <c r="J352" s="116"/>
    </row>
    <row r="353" spans="2:10" x14ac:dyDescent="0.2">
      <c r="B353" s="88" t="s">
        <v>1539</v>
      </c>
      <c r="C353" s="183">
        <v>112.04129378259344</v>
      </c>
      <c r="D353" s="116"/>
      <c r="E353" s="116"/>
      <c r="F353" s="116"/>
      <c r="G353" s="116"/>
      <c r="H353" s="116"/>
      <c r="I353" s="116"/>
      <c r="J353" s="116"/>
    </row>
    <row r="354" spans="2:10" x14ac:dyDescent="0.2">
      <c r="B354" s="88" t="s">
        <v>1540</v>
      </c>
      <c r="C354" s="126">
        <v>0.28365018630557975</v>
      </c>
      <c r="D354" s="116"/>
      <c r="E354" s="116"/>
      <c r="F354" s="116"/>
      <c r="G354" s="116"/>
      <c r="H354" s="116"/>
      <c r="I354" s="116"/>
      <c r="J354" s="116"/>
    </row>
    <row r="355" spans="2:10" x14ac:dyDescent="0.2">
      <c r="B355" s="88" t="s">
        <v>1485</v>
      </c>
      <c r="C355" s="126">
        <v>0.30431296490837484</v>
      </c>
      <c r="D355" s="116"/>
      <c r="E355" s="116"/>
      <c r="F355" s="116"/>
      <c r="G355" s="116"/>
      <c r="H355" s="116"/>
      <c r="I355" s="116"/>
      <c r="J355" s="116"/>
    </row>
    <row r="356" spans="2:10" x14ac:dyDescent="0.2">
      <c r="B356" s="88" t="s">
        <v>1541</v>
      </c>
      <c r="C356" s="277">
        <v>7.2841135963944995E-2</v>
      </c>
      <c r="D356" s="116"/>
      <c r="E356" s="116"/>
      <c r="F356" s="116"/>
      <c r="G356" s="116"/>
      <c r="H356" s="116"/>
      <c r="I356" s="116"/>
      <c r="J356" s="116"/>
    </row>
    <row r="358" spans="2:10" s="77" customFormat="1" x14ac:dyDescent="0.2">
      <c r="B358" s="64" t="s">
        <v>1542</v>
      </c>
    </row>
    <row r="359" spans="2:10" x14ac:dyDescent="0.2">
      <c r="B359" s="116" t="s">
        <v>1592</v>
      </c>
    </row>
    <row r="362" spans="2:10" x14ac:dyDescent="0.2">
      <c r="B362" s="127" t="s">
        <v>1486</v>
      </c>
    </row>
    <row r="363" spans="2:10" x14ac:dyDescent="0.2">
      <c r="B363" s="47" t="s">
        <v>1608</v>
      </c>
    </row>
    <row r="364" spans="2:10" x14ac:dyDescent="0.2">
      <c r="B364" s="47" t="s">
        <v>1609</v>
      </c>
    </row>
    <row r="365" spans="2:10" x14ac:dyDescent="0.2">
      <c r="B365" s="47" t="s">
        <v>1489</v>
      </c>
    </row>
    <row r="366" spans="2:10" x14ac:dyDescent="0.2">
      <c r="B366" s="127"/>
    </row>
    <row r="368" spans="2:10" x14ac:dyDescent="0.2">
      <c r="C368" s="481" t="s">
        <v>1595</v>
      </c>
      <c r="D368" s="481"/>
    </row>
    <row r="369" spans="2:4" x14ac:dyDescent="0.2">
      <c r="B369" s="128" t="s">
        <v>1596</v>
      </c>
      <c r="C369" s="485" t="s">
        <v>1610</v>
      </c>
      <c r="D369" s="485"/>
    </row>
  </sheetData>
  <mergeCells count="9">
    <mergeCell ref="C368:D368"/>
    <mergeCell ref="C369:D369"/>
    <mergeCell ref="H231:H304"/>
    <mergeCell ref="B328:I328"/>
    <mergeCell ref="B329:B330"/>
    <mergeCell ref="C329:D329"/>
    <mergeCell ref="G329:J329"/>
    <mergeCell ref="B336:F336"/>
    <mergeCell ref="B344:F344"/>
  </mergeCell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325"/>
  <sheetViews>
    <sheetView topLeftCell="A175" workbookViewId="0">
      <selection activeCell="B196" sqref="B196"/>
    </sheetView>
  </sheetViews>
  <sheetFormatPr defaultRowHeight="12" x14ac:dyDescent="0.2"/>
  <cols>
    <col min="1" max="1" width="3.28515625" style="47" customWidth="1"/>
    <col min="2" max="2" width="56.85546875" style="47" customWidth="1"/>
    <col min="3" max="3" width="15.7109375" style="47" customWidth="1"/>
    <col min="4" max="4" width="29.140625" style="47" customWidth="1"/>
    <col min="5" max="5" width="16.7109375" style="47" customWidth="1"/>
    <col min="6" max="6" width="16.28515625" style="47" customWidth="1"/>
    <col min="7" max="7" width="15.28515625" style="47" customWidth="1"/>
    <col min="8" max="8" width="13.140625" style="47" customWidth="1"/>
    <col min="9" max="9" width="12.5703125" style="47" customWidth="1"/>
    <col min="10" max="16384" width="9.140625" style="47"/>
  </cols>
  <sheetData>
    <row r="1" spans="1:9" ht="15.95" customHeight="1" x14ac:dyDescent="0.2">
      <c r="A1" s="46"/>
      <c r="B1" s="22" t="s">
        <v>1185</v>
      </c>
      <c r="C1" s="46"/>
      <c r="D1" s="46"/>
      <c r="E1" s="46"/>
      <c r="F1" s="46"/>
      <c r="G1" s="46"/>
      <c r="H1" s="46"/>
      <c r="I1" s="46"/>
    </row>
    <row r="2" spans="1:9" ht="12.95" customHeight="1" x14ac:dyDescent="0.2">
      <c r="A2" s="46"/>
      <c r="B2" s="2"/>
      <c r="C2" s="46"/>
      <c r="D2" s="46"/>
      <c r="E2" s="46"/>
      <c r="F2" s="46"/>
      <c r="G2" s="46"/>
      <c r="H2" s="46"/>
      <c r="I2" s="46"/>
    </row>
    <row r="3" spans="1:9" ht="12.95" customHeight="1" x14ac:dyDescent="0.2">
      <c r="A3" s="3" t="s">
        <v>0</v>
      </c>
      <c r="B3" s="48" t="s">
        <v>1</v>
      </c>
      <c r="C3" s="46"/>
      <c r="D3" s="46"/>
      <c r="E3" s="46"/>
      <c r="F3" s="46"/>
      <c r="G3" s="46"/>
      <c r="H3" s="46"/>
      <c r="I3" s="46"/>
    </row>
    <row r="4" spans="1:9" ht="27.95" customHeight="1" x14ac:dyDescent="0.2">
      <c r="A4" s="46"/>
      <c r="B4" s="27" t="s">
        <v>2</v>
      </c>
      <c r="C4" s="28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30" t="s">
        <v>9</v>
      </c>
    </row>
    <row r="5" spans="1:9" ht="12.95" customHeight="1" x14ac:dyDescent="0.2">
      <c r="A5" s="46"/>
      <c r="B5" s="31" t="s">
        <v>10</v>
      </c>
      <c r="C5" s="4"/>
      <c r="D5" s="4"/>
      <c r="E5" s="4"/>
      <c r="F5" s="4"/>
      <c r="G5" s="4"/>
      <c r="H5" s="49"/>
      <c r="I5" s="50"/>
    </row>
    <row r="6" spans="1:9" ht="12.95" customHeight="1" x14ac:dyDescent="0.2">
      <c r="A6" s="46"/>
      <c r="B6" s="31" t="s">
        <v>11</v>
      </c>
      <c r="C6" s="4"/>
      <c r="D6" s="4"/>
      <c r="E6" s="4"/>
      <c r="F6" s="51"/>
      <c r="G6" s="49"/>
      <c r="H6" s="49"/>
      <c r="I6" s="50"/>
    </row>
    <row r="7" spans="1:9" ht="12.95" customHeight="1" x14ac:dyDescent="0.2">
      <c r="A7" s="5" t="s">
        <v>20</v>
      </c>
      <c r="B7" s="32" t="s">
        <v>21</v>
      </c>
      <c r="C7" s="4" t="s">
        <v>22</v>
      </c>
      <c r="D7" s="4" t="s">
        <v>23</v>
      </c>
      <c r="E7" s="6">
        <v>1801644</v>
      </c>
      <c r="F7" s="7">
        <v>8115.51</v>
      </c>
      <c r="G7" s="8">
        <v>3.04E-2</v>
      </c>
      <c r="H7" s="9"/>
      <c r="I7" s="33"/>
    </row>
    <row r="8" spans="1:9" ht="12.95" customHeight="1" x14ac:dyDescent="0.2">
      <c r="A8" s="5" t="s">
        <v>16</v>
      </c>
      <c r="B8" s="32" t="s">
        <v>17</v>
      </c>
      <c r="C8" s="4" t="s">
        <v>18</v>
      </c>
      <c r="D8" s="4" t="s">
        <v>19</v>
      </c>
      <c r="E8" s="6">
        <v>2534924</v>
      </c>
      <c r="F8" s="7">
        <v>7505.91</v>
      </c>
      <c r="G8" s="8">
        <v>2.8199999999999999E-2</v>
      </c>
      <c r="H8" s="9"/>
      <c r="I8" s="33"/>
    </row>
    <row r="9" spans="1:9" ht="12.95" customHeight="1" x14ac:dyDescent="0.2">
      <c r="A9" s="5" t="s">
        <v>27</v>
      </c>
      <c r="B9" s="32" t="s">
        <v>28</v>
      </c>
      <c r="C9" s="4" t="s">
        <v>29</v>
      </c>
      <c r="D9" s="4" t="s">
        <v>30</v>
      </c>
      <c r="E9" s="6">
        <v>2264919</v>
      </c>
      <c r="F9" s="7">
        <v>6516.17</v>
      </c>
      <c r="G9" s="8">
        <v>2.4400000000000002E-2</v>
      </c>
      <c r="H9" s="9"/>
      <c r="I9" s="33"/>
    </row>
    <row r="10" spans="1:9" ht="12.95" customHeight="1" x14ac:dyDescent="0.2">
      <c r="A10" s="5" t="s">
        <v>448</v>
      </c>
      <c r="B10" s="32" t="s">
        <v>449</v>
      </c>
      <c r="C10" s="4" t="s">
        <v>450</v>
      </c>
      <c r="D10" s="4" t="s">
        <v>124</v>
      </c>
      <c r="E10" s="6">
        <v>2504237</v>
      </c>
      <c r="F10" s="7">
        <v>6221.78</v>
      </c>
      <c r="G10" s="8">
        <v>2.3300000000000001E-2</v>
      </c>
      <c r="H10" s="9"/>
      <c r="I10" s="33"/>
    </row>
    <row r="11" spans="1:9" ht="12.95" customHeight="1" x14ac:dyDescent="0.2">
      <c r="A11" s="5" t="s">
        <v>451</v>
      </c>
      <c r="B11" s="32" t="s">
        <v>452</v>
      </c>
      <c r="C11" s="4" t="s">
        <v>453</v>
      </c>
      <c r="D11" s="4" t="s">
        <v>34</v>
      </c>
      <c r="E11" s="6">
        <v>788502</v>
      </c>
      <c r="F11" s="7">
        <v>2405.7199999999998</v>
      </c>
      <c r="G11" s="8">
        <v>8.9999999999999993E-3</v>
      </c>
      <c r="H11" s="9"/>
      <c r="I11" s="33"/>
    </row>
    <row r="12" spans="1:9" ht="12.95" customHeight="1" x14ac:dyDescent="0.2">
      <c r="A12" s="5" t="s">
        <v>114</v>
      </c>
      <c r="B12" s="32" t="s">
        <v>115</v>
      </c>
      <c r="C12" s="4" t="s">
        <v>116</v>
      </c>
      <c r="D12" s="4" t="s">
        <v>117</v>
      </c>
      <c r="E12" s="6">
        <v>71157</v>
      </c>
      <c r="F12" s="7">
        <v>2354.5100000000002</v>
      </c>
      <c r="G12" s="8">
        <v>8.8000000000000005E-3</v>
      </c>
      <c r="H12" s="9"/>
      <c r="I12" s="33"/>
    </row>
    <row r="13" spans="1:9" ht="12.95" customHeight="1" x14ac:dyDescent="0.2">
      <c r="A13" s="5" t="s">
        <v>118</v>
      </c>
      <c r="B13" s="32" t="s">
        <v>119</v>
      </c>
      <c r="C13" s="4" t="s">
        <v>120</v>
      </c>
      <c r="D13" s="4" t="s">
        <v>101</v>
      </c>
      <c r="E13" s="6">
        <v>227506</v>
      </c>
      <c r="F13" s="7">
        <v>2306.91</v>
      </c>
      <c r="G13" s="8">
        <v>8.6999999999999994E-3</v>
      </c>
      <c r="H13" s="9"/>
      <c r="I13" s="33"/>
    </row>
    <row r="14" spans="1:9" ht="12.95" customHeight="1" x14ac:dyDescent="0.2">
      <c r="A14" s="5" t="s">
        <v>435</v>
      </c>
      <c r="B14" s="32" t="s">
        <v>436</v>
      </c>
      <c r="C14" s="4" t="s">
        <v>437</v>
      </c>
      <c r="D14" s="4" t="s">
        <v>438</v>
      </c>
      <c r="E14" s="6">
        <v>897508</v>
      </c>
      <c r="F14" s="7">
        <v>1795.64</v>
      </c>
      <c r="G14" s="8">
        <v>6.7000000000000002E-3</v>
      </c>
      <c r="H14" s="9"/>
      <c r="I14" s="33"/>
    </row>
    <row r="15" spans="1:9" ht="12.95" customHeight="1" x14ac:dyDescent="0.2">
      <c r="A15" s="5" t="s">
        <v>966</v>
      </c>
      <c r="B15" s="32" t="s">
        <v>967</v>
      </c>
      <c r="C15" s="4" t="s">
        <v>968</v>
      </c>
      <c r="D15" s="4" t="s">
        <v>101</v>
      </c>
      <c r="E15" s="6">
        <v>58235</v>
      </c>
      <c r="F15" s="7">
        <v>291.89999999999998</v>
      </c>
      <c r="G15" s="8">
        <v>1.1000000000000001E-3</v>
      </c>
      <c r="H15" s="9"/>
      <c r="I15" s="33"/>
    </row>
    <row r="16" spans="1:9" ht="12.95" customHeight="1" x14ac:dyDescent="0.2">
      <c r="A16" s="5" t="s">
        <v>108</v>
      </c>
      <c r="B16" s="32" t="s">
        <v>109</v>
      </c>
      <c r="C16" s="4" t="s">
        <v>110</v>
      </c>
      <c r="D16" s="4" t="s">
        <v>52</v>
      </c>
      <c r="E16" s="6">
        <v>37238</v>
      </c>
      <c r="F16" s="7">
        <v>155.71</v>
      </c>
      <c r="G16" s="8">
        <v>5.9999999999999995E-4</v>
      </c>
      <c r="H16" s="9"/>
      <c r="I16" s="33"/>
    </row>
    <row r="17" spans="1:9" ht="12.95" customHeight="1" x14ac:dyDescent="0.2">
      <c r="A17" s="46"/>
      <c r="B17" s="34" t="s">
        <v>128</v>
      </c>
      <c r="C17" s="1"/>
      <c r="D17" s="1"/>
      <c r="E17" s="1"/>
      <c r="F17" s="10">
        <f>SUM(F7:F16)</f>
        <v>37669.759999999995</v>
      </c>
      <c r="G17" s="11">
        <f>SUM(G7:G16)</f>
        <v>0.14119999999999999</v>
      </c>
      <c r="H17" s="12"/>
      <c r="I17" s="35"/>
    </row>
    <row r="18" spans="1:9" ht="12.95" customHeight="1" x14ac:dyDescent="0.2">
      <c r="A18" s="46"/>
      <c r="B18" s="31" t="s">
        <v>129</v>
      </c>
      <c r="C18" s="4"/>
      <c r="D18" s="4"/>
      <c r="E18" s="4"/>
      <c r="F18" s="51"/>
      <c r="G18" s="49"/>
      <c r="H18" s="49"/>
      <c r="I18" s="50"/>
    </row>
    <row r="19" spans="1:9" ht="12.95" customHeight="1" x14ac:dyDescent="0.2">
      <c r="A19" s="5" t="s">
        <v>130</v>
      </c>
      <c r="B19" s="32" t="s">
        <v>131</v>
      </c>
      <c r="C19" s="4" t="s">
        <v>132</v>
      </c>
      <c r="D19" s="4" t="s">
        <v>133</v>
      </c>
      <c r="E19" s="6">
        <v>582000</v>
      </c>
      <c r="F19" s="7">
        <v>7821.5</v>
      </c>
      <c r="G19" s="8">
        <v>2.93E-2</v>
      </c>
      <c r="H19" s="9"/>
      <c r="I19" s="33"/>
    </row>
    <row r="20" spans="1:9" ht="12.95" customHeight="1" x14ac:dyDescent="0.2">
      <c r="A20" s="5" t="s">
        <v>12</v>
      </c>
      <c r="B20" s="32" t="s">
        <v>13</v>
      </c>
      <c r="C20" s="4" t="s">
        <v>14</v>
      </c>
      <c r="D20" s="4" t="s">
        <v>15</v>
      </c>
      <c r="E20" s="6">
        <v>965800</v>
      </c>
      <c r="F20" s="7">
        <v>7065.31</v>
      </c>
      <c r="G20" s="8">
        <v>2.6499999999999999E-2</v>
      </c>
      <c r="H20" s="9"/>
      <c r="I20" s="33"/>
    </row>
    <row r="21" spans="1:9" ht="12.95" customHeight="1" x14ac:dyDescent="0.2">
      <c r="A21" s="5" t="s">
        <v>49</v>
      </c>
      <c r="B21" s="32" t="s">
        <v>50</v>
      </c>
      <c r="C21" s="4" t="s">
        <v>51</v>
      </c>
      <c r="D21" s="4" t="s">
        <v>52</v>
      </c>
      <c r="E21" s="6">
        <v>252700</v>
      </c>
      <c r="F21" s="7">
        <v>4504.12</v>
      </c>
      <c r="G21" s="8">
        <v>1.6899999999999998E-2</v>
      </c>
      <c r="H21" s="9"/>
      <c r="I21" s="33"/>
    </row>
    <row r="22" spans="1:9" ht="12.95" customHeight="1" x14ac:dyDescent="0.2">
      <c r="A22" s="5" t="s">
        <v>665</v>
      </c>
      <c r="B22" s="32" t="s">
        <v>666</v>
      </c>
      <c r="C22" s="4" t="s">
        <v>667</v>
      </c>
      <c r="D22" s="4" t="s">
        <v>461</v>
      </c>
      <c r="E22" s="6">
        <v>12250</v>
      </c>
      <c r="F22" s="7">
        <v>1316.26</v>
      </c>
      <c r="G22" s="8">
        <v>4.8999999999999998E-3</v>
      </c>
      <c r="H22" s="9"/>
      <c r="I22" s="33"/>
    </row>
    <row r="23" spans="1:9" ht="12.95" customHeight="1" x14ac:dyDescent="0.2">
      <c r="A23" s="5" t="s">
        <v>699</v>
      </c>
      <c r="B23" s="32" t="s">
        <v>700</v>
      </c>
      <c r="C23" s="4" t="s">
        <v>701</v>
      </c>
      <c r="D23" s="4" t="s">
        <v>702</v>
      </c>
      <c r="E23" s="6">
        <v>509250</v>
      </c>
      <c r="F23" s="7">
        <v>1166.08</v>
      </c>
      <c r="G23" s="8">
        <v>4.4000000000000003E-3</v>
      </c>
      <c r="H23" s="9"/>
      <c r="I23" s="33"/>
    </row>
    <row r="24" spans="1:9" ht="12.95" customHeight="1" x14ac:dyDescent="0.2">
      <c r="A24" s="5" t="s">
        <v>134</v>
      </c>
      <c r="B24" s="32" t="s">
        <v>135</v>
      </c>
      <c r="C24" s="4" t="s">
        <v>136</v>
      </c>
      <c r="D24" s="4" t="s">
        <v>137</v>
      </c>
      <c r="E24" s="6">
        <v>22225</v>
      </c>
      <c r="F24" s="7">
        <v>878.2</v>
      </c>
      <c r="G24" s="8">
        <v>3.3E-3</v>
      </c>
      <c r="H24" s="9"/>
      <c r="I24" s="33"/>
    </row>
    <row r="25" spans="1:9" ht="12.95" customHeight="1" x14ac:dyDescent="0.2">
      <c r="A25" s="5" t="s">
        <v>38</v>
      </c>
      <c r="B25" s="32" t="s">
        <v>39</v>
      </c>
      <c r="C25" s="4" t="s">
        <v>40</v>
      </c>
      <c r="D25" s="4" t="s">
        <v>41</v>
      </c>
      <c r="E25" s="6">
        <v>27800</v>
      </c>
      <c r="F25" s="7">
        <v>821.41</v>
      </c>
      <c r="G25" s="8">
        <v>3.0999999999999999E-3</v>
      </c>
      <c r="H25" s="9"/>
      <c r="I25" s="33"/>
    </row>
    <row r="26" spans="1:9" ht="12.95" customHeight="1" x14ac:dyDescent="0.2">
      <c r="A26" s="5" t="s">
        <v>650</v>
      </c>
      <c r="B26" s="32" t="s">
        <v>651</v>
      </c>
      <c r="C26" s="4" t="s">
        <v>652</v>
      </c>
      <c r="D26" s="4" t="s">
        <v>653</v>
      </c>
      <c r="E26" s="6">
        <v>407000</v>
      </c>
      <c r="F26" s="7">
        <v>780.87</v>
      </c>
      <c r="G26" s="8">
        <v>2.8999999999999998E-3</v>
      </c>
      <c r="H26" s="9"/>
      <c r="I26" s="33"/>
    </row>
    <row r="27" spans="1:9" ht="12.95" customHeight="1" x14ac:dyDescent="0.2">
      <c r="A27" s="5" t="s">
        <v>732</v>
      </c>
      <c r="B27" s="32" t="s">
        <v>733</v>
      </c>
      <c r="C27" s="4" t="s">
        <v>734</v>
      </c>
      <c r="D27" s="4" t="s">
        <v>653</v>
      </c>
      <c r="E27" s="6">
        <v>58050</v>
      </c>
      <c r="F27" s="7">
        <v>651.61</v>
      </c>
      <c r="G27" s="8">
        <v>2.3999999999999998E-3</v>
      </c>
      <c r="H27" s="9"/>
      <c r="I27" s="33"/>
    </row>
    <row r="28" spans="1:9" ht="12.95" customHeight="1" x14ac:dyDescent="0.2">
      <c r="A28" s="5" t="s">
        <v>690</v>
      </c>
      <c r="B28" s="32" t="s">
        <v>691</v>
      </c>
      <c r="C28" s="4" t="s">
        <v>692</v>
      </c>
      <c r="D28" s="4" t="s">
        <v>156</v>
      </c>
      <c r="E28" s="6">
        <v>113850</v>
      </c>
      <c r="F28" s="7">
        <v>573.91999999999996</v>
      </c>
      <c r="G28" s="8">
        <v>2.2000000000000001E-3</v>
      </c>
      <c r="H28" s="9"/>
      <c r="I28" s="33"/>
    </row>
    <row r="29" spans="1:9" ht="12.95" customHeight="1" x14ac:dyDescent="0.2">
      <c r="A29" s="5" t="s">
        <v>658</v>
      </c>
      <c r="B29" s="32" t="s">
        <v>659</v>
      </c>
      <c r="C29" s="4" t="s">
        <v>660</v>
      </c>
      <c r="D29" s="4" t="s">
        <v>661</v>
      </c>
      <c r="E29" s="6">
        <v>479250</v>
      </c>
      <c r="F29" s="7">
        <v>365.52</v>
      </c>
      <c r="G29" s="8">
        <v>1.4E-3</v>
      </c>
      <c r="H29" s="9"/>
      <c r="I29" s="33"/>
    </row>
    <row r="30" spans="1:9" ht="12.95" customHeight="1" x14ac:dyDescent="0.2">
      <c r="A30" s="5" t="s">
        <v>745</v>
      </c>
      <c r="B30" s="32" t="s">
        <v>746</v>
      </c>
      <c r="C30" s="4" t="s">
        <v>747</v>
      </c>
      <c r="D30" s="4" t="s">
        <v>34</v>
      </c>
      <c r="E30" s="6">
        <v>19250</v>
      </c>
      <c r="F30" s="7">
        <v>314.12</v>
      </c>
      <c r="G30" s="8">
        <v>1.1999999999999999E-3</v>
      </c>
      <c r="H30" s="9"/>
      <c r="I30" s="33"/>
    </row>
    <row r="31" spans="1:9" ht="12.95" customHeight="1" x14ac:dyDescent="0.2">
      <c r="A31" s="5" t="s">
        <v>729</v>
      </c>
      <c r="B31" s="32" t="s">
        <v>730</v>
      </c>
      <c r="C31" s="4" t="s">
        <v>731</v>
      </c>
      <c r="D31" s="4" t="s">
        <v>34</v>
      </c>
      <c r="E31" s="6">
        <v>71300</v>
      </c>
      <c r="F31" s="7">
        <v>208.37</v>
      </c>
      <c r="G31" s="8">
        <v>8.0000000000000004E-4</v>
      </c>
      <c r="H31" s="9"/>
      <c r="I31" s="33"/>
    </row>
    <row r="32" spans="1:9" ht="12.95" customHeight="1" x14ac:dyDescent="0.2">
      <c r="A32" s="5" t="s">
        <v>654</v>
      </c>
      <c r="B32" s="32" t="s">
        <v>655</v>
      </c>
      <c r="C32" s="4" t="s">
        <v>656</v>
      </c>
      <c r="D32" s="4" t="s">
        <v>657</v>
      </c>
      <c r="E32" s="6">
        <v>65625</v>
      </c>
      <c r="F32" s="7">
        <v>161.11000000000001</v>
      </c>
      <c r="G32" s="8">
        <v>5.9999999999999995E-4</v>
      </c>
      <c r="H32" s="9"/>
      <c r="I32" s="33"/>
    </row>
    <row r="33" spans="1:9" ht="12.95" customHeight="1" x14ac:dyDescent="0.2">
      <c r="A33" s="5" t="s">
        <v>788</v>
      </c>
      <c r="B33" s="32" t="s">
        <v>789</v>
      </c>
      <c r="C33" s="4" t="s">
        <v>790</v>
      </c>
      <c r="D33" s="4" t="s">
        <v>791</v>
      </c>
      <c r="E33" s="6">
        <v>7875</v>
      </c>
      <c r="F33" s="7">
        <v>139.96</v>
      </c>
      <c r="G33" s="8">
        <v>5.0000000000000001E-4</v>
      </c>
      <c r="H33" s="9"/>
      <c r="I33" s="33"/>
    </row>
    <row r="34" spans="1:9" ht="12.95" customHeight="1" x14ac:dyDescent="0.2">
      <c r="A34" s="5" t="s">
        <v>141</v>
      </c>
      <c r="B34" s="32" t="s">
        <v>142</v>
      </c>
      <c r="C34" s="4" t="s">
        <v>143</v>
      </c>
      <c r="D34" s="4" t="s">
        <v>144</v>
      </c>
      <c r="E34" s="6">
        <v>9100</v>
      </c>
      <c r="F34" s="7">
        <v>80.48</v>
      </c>
      <c r="G34" s="8">
        <v>2.9999999999999997E-4</v>
      </c>
      <c r="H34" s="9"/>
      <c r="I34" s="33"/>
    </row>
    <row r="35" spans="1:9" ht="12.95" customHeight="1" x14ac:dyDescent="0.2">
      <c r="A35" s="5" t="s">
        <v>46</v>
      </c>
      <c r="B35" s="32" t="s">
        <v>47</v>
      </c>
      <c r="C35" s="4" t="s">
        <v>48</v>
      </c>
      <c r="D35" s="4" t="s">
        <v>15</v>
      </c>
      <c r="E35" s="6">
        <v>3125</v>
      </c>
      <c r="F35" s="7">
        <v>36.29</v>
      </c>
      <c r="G35" s="8">
        <v>1E-4</v>
      </c>
      <c r="H35" s="9"/>
      <c r="I35" s="33"/>
    </row>
    <row r="36" spans="1:9" ht="12.95" customHeight="1" x14ac:dyDescent="0.2">
      <c r="A36" s="5" t="s">
        <v>693</v>
      </c>
      <c r="B36" s="32" t="s">
        <v>694</v>
      </c>
      <c r="C36" s="4" t="s">
        <v>695</v>
      </c>
      <c r="D36" s="4" t="s">
        <v>15</v>
      </c>
      <c r="E36" s="6">
        <v>14400</v>
      </c>
      <c r="F36" s="7">
        <v>20.350000000000001</v>
      </c>
      <c r="G36" s="8">
        <v>1E-4</v>
      </c>
      <c r="H36" s="9"/>
      <c r="I36" s="33"/>
    </row>
    <row r="37" spans="1:9" ht="12.95" customHeight="1" x14ac:dyDescent="0.2">
      <c r="A37" s="5" t="s">
        <v>66</v>
      </c>
      <c r="B37" s="32" t="s">
        <v>67</v>
      </c>
      <c r="C37" s="4" t="s">
        <v>68</v>
      </c>
      <c r="D37" s="4" t="s">
        <v>65</v>
      </c>
      <c r="E37" s="6">
        <v>1800</v>
      </c>
      <c r="F37" s="7">
        <v>15.68</v>
      </c>
      <c r="G37" s="8">
        <v>1E-4</v>
      </c>
      <c r="H37" s="9"/>
      <c r="I37" s="33"/>
    </row>
    <row r="38" spans="1:9" ht="12.95" customHeight="1" x14ac:dyDescent="0.2">
      <c r="A38" s="5" t="s">
        <v>703</v>
      </c>
      <c r="B38" s="32" t="s">
        <v>704</v>
      </c>
      <c r="C38" s="4" t="s">
        <v>705</v>
      </c>
      <c r="D38" s="4" t="s">
        <v>34</v>
      </c>
      <c r="E38" s="6">
        <v>2350</v>
      </c>
      <c r="F38" s="7">
        <v>5.27</v>
      </c>
      <c r="G38" s="8">
        <v>0</v>
      </c>
      <c r="H38" s="9"/>
      <c r="I38" s="33"/>
    </row>
    <row r="39" spans="1:9" ht="12.95" customHeight="1" x14ac:dyDescent="0.2">
      <c r="A39" s="5" t="s">
        <v>779</v>
      </c>
      <c r="B39" s="32" t="s">
        <v>780</v>
      </c>
      <c r="C39" s="4" t="s">
        <v>781</v>
      </c>
      <c r="D39" s="4" t="s">
        <v>124</v>
      </c>
      <c r="E39" s="6">
        <v>3150</v>
      </c>
      <c r="F39" s="7">
        <v>4.34</v>
      </c>
      <c r="G39" s="8">
        <v>0</v>
      </c>
      <c r="H39" s="9"/>
      <c r="I39" s="33"/>
    </row>
    <row r="40" spans="1:9" ht="12.95" customHeight="1" x14ac:dyDescent="0.2">
      <c r="A40" s="16" t="s">
        <v>35</v>
      </c>
      <c r="B40" s="43" t="s">
        <v>36</v>
      </c>
      <c r="C40" s="17" t="s">
        <v>37</v>
      </c>
      <c r="D40" s="17" t="s">
        <v>15</v>
      </c>
      <c r="E40" s="18">
        <v>982000</v>
      </c>
      <c r="F40" s="19">
        <v>3470.39</v>
      </c>
      <c r="G40" s="20">
        <v>1.2999999999999999E-2</v>
      </c>
      <c r="H40" s="21"/>
      <c r="I40" s="44"/>
    </row>
    <row r="41" spans="1:9" ht="12.95" customHeight="1" x14ac:dyDescent="0.2">
      <c r="A41" s="16"/>
      <c r="B41" s="45" t="s">
        <v>1182</v>
      </c>
      <c r="C41" s="17"/>
      <c r="D41" s="17"/>
      <c r="E41" s="18"/>
      <c r="F41" s="19"/>
      <c r="G41" s="20"/>
      <c r="H41" s="21"/>
      <c r="I41" s="44"/>
    </row>
    <row r="42" spans="1:9" ht="12.95" customHeight="1" x14ac:dyDescent="0.2">
      <c r="A42" s="16" t="s">
        <v>454</v>
      </c>
      <c r="B42" s="43" t="s">
        <v>455</v>
      </c>
      <c r="C42" s="17" t="s">
        <v>456</v>
      </c>
      <c r="D42" s="17" t="s">
        <v>457</v>
      </c>
      <c r="E42" s="18">
        <v>192375</v>
      </c>
      <c r="F42" s="19">
        <v>2103.81</v>
      </c>
      <c r="G42" s="20">
        <v>7.9000000000000008E-3</v>
      </c>
      <c r="H42" s="21"/>
      <c r="I42" s="44"/>
    </row>
    <row r="43" spans="1:9" ht="12.95" customHeight="1" x14ac:dyDescent="0.2">
      <c r="A43" s="16" t="s">
        <v>458</v>
      </c>
      <c r="B43" s="43" t="s">
        <v>459</v>
      </c>
      <c r="C43" s="17" t="s">
        <v>460</v>
      </c>
      <c r="D43" s="17" t="s">
        <v>461</v>
      </c>
      <c r="E43" s="18">
        <v>227500</v>
      </c>
      <c r="F43" s="19">
        <v>109.29</v>
      </c>
      <c r="G43" s="20">
        <v>4.0000000000000002E-4</v>
      </c>
      <c r="H43" s="21"/>
      <c r="I43" s="44"/>
    </row>
    <row r="44" spans="1:9" ht="12.95" customHeight="1" x14ac:dyDescent="0.2">
      <c r="A44" s="46"/>
      <c r="B44" s="34" t="s">
        <v>128</v>
      </c>
      <c r="C44" s="1"/>
      <c r="D44" s="1"/>
      <c r="E44" s="1"/>
      <c r="F44" s="10">
        <f>SUM(F19:F43)</f>
        <v>32614.259999999995</v>
      </c>
      <c r="G44" s="11">
        <v>0.12230000000000001</v>
      </c>
      <c r="H44" s="12"/>
      <c r="I44" s="35"/>
    </row>
    <row r="45" spans="1:9" ht="12.95" customHeight="1" x14ac:dyDescent="0.2">
      <c r="A45" s="46"/>
      <c r="B45" s="31" t="s">
        <v>152</v>
      </c>
      <c r="C45" s="4"/>
      <c r="D45" s="4"/>
      <c r="E45" s="4"/>
      <c r="F45" s="51"/>
      <c r="G45" s="49"/>
      <c r="H45" s="49"/>
      <c r="I45" s="50"/>
    </row>
    <row r="46" spans="1:9" ht="12.95" customHeight="1" x14ac:dyDescent="0.2">
      <c r="A46" s="5" t="s">
        <v>153</v>
      </c>
      <c r="B46" s="32" t="s">
        <v>154</v>
      </c>
      <c r="C46" s="4" t="s">
        <v>155</v>
      </c>
      <c r="D46" s="4" t="s">
        <v>156</v>
      </c>
      <c r="E46" s="6">
        <v>3245255</v>
      </c>
      <c r="F46" s="7">
        <v>13639.48</v>
      </c>
      <c r="G46" s="8">
        <v>5.1200000000000002E-2</v>
      </c>
      <c r="H46" s="9"/>
      <c r="I46" s="33"/>
    </row>
    <row r="47" spans="1:9" ht="12.95" customHeight="1" x14ac:dyDescent="0.2">
      <c r="A47" s="5" t="s">
        <v>157</v>
      </c>
      <c r="B47" s="32" t="s">
        <v>158</v>
      </c>
      <c r="C47" s="4" t="s">
        <v>159</v>
      </c>
      <c r="D47" s="4" t="s">
        <v>156</v>
      </c>
      <c r="E47" s="6">
        <v>3969694</v>
      </c>
      <c r="F47" s="7">
        <v>12849.5</v>
      </c>
      <c r="G47" s="8">
        <v>4.82E-2</v>
      </c>
      <c r="H47" s="9"/>
      <c r="I47" s="33"/>
    </row>
    <row r="48" spans="1:9" ht="12.95" customHeight="1" x14ac:dyDescent="0.2">
      <c r="A48" s="46"/>
      <c r="B48" s="34" t="s">
        <v>128</v>
      </c>
      <c r="C48" s="1"/>
      <c r="D48" s="1"/>
      <c r="E48" s="1"/>
      <c r="F48" s="10">
        <v>26488.98</v>
      </c>
      <c r="G48" s="11">
        <v>9.9400000000000002E-2</v>
      </c>
      <c r="H48" s="12"/>
      <c r="I48" s="35"/>
    </row>
    <row r="49" spans="1:9" ht="12.95" customHeight="1" x14ac:dyDescent="0.2">
      <c r="A49" s="46"/>
      <c r="B49" s="34" t="s">
        <v>163</v>
      </c>
      <c r="C49" s="1"/>
      <c r="D49" s="1"/>
      <c r="E49" s="1"/>
      <c r="F49" s="12" t="s">
        <v>164</v>
      </c>
      <c r="G49" s="12" t="s">
        <v>164</v>
      </c>
      <c r="H49" s="12"/>
      <c r="I49" s="35"/>
    </row>
    <row r="50" spans="1:9" ht="12.95" customHeight="1" x14ac:dyDescent="0.2">
      <c r="A50" s="46"/>
      <c r="B50" s="34" t="s">
        <v>128</v>
      </c>
      <c r="C50" s="1"/>
      <c r="D50" s="1"/>
      <c r="E50" s="1"/>
      <c r="F50" s="12" t="s">
        <v>164</v>
      </c>
      <c r="G50" s="12" t="s">
        <v>164</v>
      </c>
      <c r="H50" s="12"/>
      <c r="I50" s="35"/>
    </row>
    <row r="51" spans="1:9" ht="12.95" customHeight="1" x14ac:dyDescent="0.2">
      <c r="A51" s="46"/>
      <c r="B51" s="34" t="s">
        <v>165</v>
      </c>
      <c r="C51" s="13"/>
      <c r="D51" s="1"/>
      <c r="E51" s="13"/>
      <c r="F51" s="10">
        <v>96773</v>
      </c>
      <c r="G51" s="11">
        <v>0.3629</v>
      </c>
      <c r="H51" s="12"/>
      <c r="I51" s="35"/>
    </row>
    <row r="52" spans="1:9" ht="12.95" customHeight="1" x14ac:dyDescent="0.2">
      <c r="A52" s="46"/>
      <c r="B52" s="31" t="s">
        <v>354</v>
      </c>
      <c r="C52" s="4"/>
      <c r="D52" s="4"/>
      <c r="E52" s="4"/>
      <c r="F52" s="4"/>
      <c r="G52" s="4"/>
      <c r="H52" s="49"/>
      <c r="I52" s="50"/>
    </row>
    <row r="53" spans="1:9" ht="12.95" customHeight="1" x14ac:dyDescent="0.2">
      <c r="A53" s="46"/>
      <c r="B53" s="31" t="s">
        <v>355</v>
      </c>
      <c r="C53" s="4"/>
      <c r="D53" s="4"/>
      <c r="E53" s="4"/>
      <c r="F53" s="51"/>
      <c r="G53" s="49"/>
      <c r="H53" s="49"/>
      <c r="I53" s="50"/>
    </row>
    <row r="54" spans="1:9" ht="12.95" customHeight="1" x14ac:dyDescent="0.2">
      <c r="A54" s="5" t="s">
        <v>502</v>
      </c>
      <c r="B54" s="32" t="s">
        <v>1299</v>
      </c>
      <c r="C54" s="4" t="s">
        <v>503</v>
      </c>
      <c r="D54" s="4" t="s">
        <v>332</v>
      </c>
      <c r="E54" s="6">
        <v>10000000</v>
      </c>
      <c r="F54" s="7">
        <v>9856.44</v>
      </c>
      <c r="G54" s="8">
        <v>3.6999999999999998E-2</v>
      </c>
      <c r="H54" s="14">
        <v>7.5609999999999997E-2</v>
      </c>
      <c r="I54" s="33"/>
    </row>
    <row r="55" spans="1:9" ht="12.95" customHeight="1" x14ac:dyDescent="0.2">
      <c r="A55" s="5" t="s">
        <v>472</v>
      </c>
      <c r="B55" s="32" t="s">
        <v>1288</v>
      </c>
      <c r="C55" s="4" t="s">
        <v>473</v>
      </c>
      <c r="D55" s="4" t="s">
        <v>332</v>
      </c>
      <c r="E55" s="6">
        <v>7500000</v>
      </c>
      <c r="F55" s="7">
        <v>7617.8</v>
      </c>
      <c r="G55" s="8">
        <v>2.86E-2</v>
      </c>
      <c r="H55" s="14">
        <v>7.4659000000000003E-2</v>
      </c>
      <c r="I55" s="33"/>
    </row>
    <row r="56" spans="1:9" ht="12.95" customHeight="1" x14ac:dyDescent="0.2">
      <c r="A56" s="5" t="s">
        <v>518</v>
      </c>
      <c r="B56" s="32" t="s">
        <v>1307</v>
      </c>
      <c r="C56" s="4" t="s">
        <v>519</v>
      </c>
      <c r="D56" s="4" t="s">
        <v>332</v>
      </c>
      <c r="E56" s="6">
        <v>7000000</v>
      </c>
      <c r="F56" s="7">
        <v>7020.73</v>
      </c>
      <c r="G56" s="8">
        <v>2.63E-2</v>
      </c>
      <c r="H56" s="14">
        <v>7.6822000000000001E-2</v>
      </c>
      <c r="I56" s="33"/>
    </row>
    <row r="57" spans="1:9" ht="12.95" customHeight="1" x14ac:dyDescent="0.2">
      <c r="A57" s="5" t="s">
        <v>489</v>
      </c>
      <c r="B57" s="32" t="s">
        <v>1295</v>
      </c>
      <c r="C57" s="4" t="s">
        <v>490</v>
      </c>
      <c r="D57" s="4" t="s">
        <v>332</v>
      </c>
      <c r="E57" s="6">
        <v>5000000</v>
      </c>
      <c r="F57" s="7">
        <v>5045.3999999999996</v>
      </c>
      <c r="G57" s="8">
        <v>1.89E-2</v>
      </c>
      <c r="H57" s="14">
        <v>7.5627E-2</v>
      </c>
      <c r="I57" s="33"/>
    </row>
    <row r="58" spans="1:9" ht="12.95" customHeight="1" x14ac:dyDescent="0.2">
      <c r="A58" s="5" t="s">
        <v>491</v>
      </c>
      <c r="B58" s="32" t="s">
        <v>1411</v>
      </c>
      <c r="C58" s="4" t="s">
        <v>492</v>
      </c>
      <c r="D58" s="4" t="s">
        <v>493</v>
      </c>
      <c r="E58" s="6">
        <v>5000</v>
      </c>
      <c r="F58" s="7">
        <v>5011.6000000000004</v>
      </c>
      <c r="G58" s="8">
        <v>1.8800000000000001E-2</v>
      </c>
      <c r="H58" s="14">
        <v>7.5462000000000001E-2</v>
      </c>
      <c r="I58" s="33"/>
    </row>
    <row r="59" spans="1:9" ht="12.95" customHeight="1" x14ac:dyDescent="0.2">
      <c r="A59" s="5" t="s">
        <v>468</v>
      </c>
      <c r="B59" s="32" t="s">
        <v>1286</v>
      </c>
      <c r="C59" s="4" t="s">
        <v>469</v>
      </c>
      <c r="D59" s="4" t="s">
        <v>332</v>
      </c>
      <c r="E59" s="6">
        <v>5000000</v>
      </c>
      <c r="F59" s="7">
        <v>4933.8500000000004</v>
      </c>
      <c r="G59" s="8">
        <v>1.8499999999999999E-2</v>
      </c>
      <c r="H59" s="14">
        <v>7.5423000000000004E-2</v>
      </c>
      <c r="I59" s="33"/>
    </row>
    <row r="60" spans="1:9" ht="12.95" customHeight="1" x14ac:dyDescent="0.2">
      <c r="A60" s="5" t="s">
        <v>969</v>
      </c>
      <c r="B60" s="32" t="s">
        <v>1369</v>
      </c>
      <c r="C60" s="4" t="s">
        <v>970</v>
      </c>
      <c r="D60" s="4" t="s">
        <v>332</v>
      </c>
      <c r="E60" s="6">
        <v>5000000</v>
      </c>
      <c r="F60" s="7">
        <v>4924.3900000000003</v>
      </c>
      <c r="G60" s="8">
        <v>1.8499999999999999E-2</v>
      </c>
      <c r="H60" s="14">
        <v>7.4554999999999996E-2</v>
      </c>
      <c r="I60" s="33"/>
    </row>
    <row r="61" spans="1:9" ht="12.95" customHeight="1" x14ac:dyDescent="0.2">
      <c r="A61" s="5" t="s">
        <v>504</v>
      </c>
      <c r="B61" s="32" t="s">
        <v>1300</v>
      </c>
      <c r="C61" s="4" t="s">
        <v>505</v>
      </c>
      <c r="D61" s="4" t="s">
        <v>332</v>
      </c>
      <c r="E61" s="6">
        <v>5000000</v>
      </c>
      <c r="F61" s="7">
        <v>4923</v>
      </c>
      <c r="G61" s="8">
        <v>1.8499999999999999E-2</v>
      </c>
      <c r="H61" s="14">
        <v>7.4929999999999997E-2</v>
      </c>
      <c r="I61" s="33"/>
    </row>
    <row r="62" spans="1:9" ht="12.95" customHeight="1" x14ac:dyDescent="0.2">
      <c r="A62" s="5" t="s">
        <v>485</v>
      </c>
      <c r="B62" s="32" t="s">
        <v>1293</v>
      </c>
      <c r="C62" s="4" t="s">
        <v>486</v>
      </c>
      <c r="D62" s="4" t="s">
        <v>332</v>
      </c>
      <c r="E62" s="6">
        <v>4000000</v>
      </c>
      <c r="F62" s="7">
        <v>4057.95</v>
      </c>
      <c r="G62" s="8">
        <v>1.52E-2</v>
      </c>
      <c r="H62" s="14">
        <v>7.3088E-2</v>
      </c>
      <c r="I62" s="33"/>
    </row>
    <row r="63" spans="1:9" ht="12.95" customHeight="1" x14ac:dyDescent="0.2">
      <c r="A63" s="5" t="s">
        <v>496</v>
      </c>
      <c r="B63" s="32" t="s">
        <v>1297</v>
      </c>
      <c r="C63" s="4" t="s">
        <v>497</v>
      </c>
      <c r="D63" s="4" t="s">
        <v>332</v>
      </c>
      <c r="E63" s="6">
        <v>4000000</v>
      </c>
      <c r="F63" s="7">
        <v>3992.85</v>
      </c>
      <c r="G63" s="8">
        <v>1.4999999999999999E-2</v>
      </c>
      <c r="H63" s="14">
        <v>7.5609999999999997E-2</v>
      </c>
      <c r="I63" s="33"/>
    </row>
    <row r="64" spans="1:9" ht="12.95" customHeight="1" x14ac:dyDescent="0.2">
      <c r="A64" s="5" t="s">
        <v>971</v>
      </c>
      <c r="B64" s="32" t="s">
        <v>1370</v>
      </c>
      <c r="C64" s="4" t="s">
        <v>972</v>
      </c>
      <c r="D64" s="4" t="s">
        <v>332</v>
      </c>
      <c r="E64" s="6">
        <v>3500000</v>
      </c>
      <c r="F64" s="7">
        <v>3568.64</v>
      </c>
      <c r="G64" s="8">
        <v>1.34E-2</v>
      </c>
      <c r="H64" s="14">
        <v>7.5627E-2</v>
      </c>
      <c r="I64" s="33"/>
    </row>
    <row r="65" spans="1:9" ht="12.95" customHeight="1" x14ac:dyDescent="0.2">
      <c r="A65" s="5" t="s">
        <v>568</v>
      </c>
      <c r="B65" s="32" t="s">
        <v>1331</v>
      </c>
      <c r="C65" s="4" t="s">
        <v>569</v>
      </c>
      <c r="D65" s="4" t="s">
        <v>332</v>
      </c>
      <c r="E65" s="6">
        <v>3500000</v>
      </c>
      <c r="F65" s="7">
        <v>3551.18</v>
      </c>
      <c r="G65" s="8">
        <v>1.3299999999999999E-2</v>
      </c>
      <c r="H65" s="14">
        <v>7.4659000000000003E-2</v>
      </c>
      <c r="I65" s="33"/>
    </row>
    <row r="66" spans="1:9" ht="12.95" customHeight="1" x14ac:dyDescent="0.2">
      <c r="A66" s="5" t="s">
        <v>512</v>
      </c>
      <c r="B66" s="32" t="s">
        <v>1304</v>
      </c>
      <c r="C66" s="4" t="s">
        <v>513</v>
      </c>
      <c r="D66" s="4" t="s">
        <v>332</v>
      </c>
      <c r="E66" s="6">
        <v>3500000</v>
      </c>
      <c r="F66" s="7">
        <v>3531.57</v>
      </c>
      <c r="G66" s="8">
        <v>1.32E-2</v>
      </c>
      <c r="H66" s="14">
        <v>7.6822000000000001E-2</v>
      </c>
      <c r="I66" s="33"/>
    </row>
    <row r="67" spans="1:9" ht="12.95" customHeight="1" x14ac:dyDescent="0.2">
      <c r="A67" s="5" t="s">
        <v>478</v>
      </c>
      <c r="B67" s="32" t="s">
        <v>1291</v>
      </c>
      <c r="C67" s="4" t="s">
        <v>479</v>
      </c>
      <c r="D67" s="4" t="s">
        <v>332</v>
      </c>
      <c r="E67" s="6">
        <v>2500000</v>
      </c>
      <c r="F67" s="7">
        <v>2560.9899999999998</v>
      </c>
      <c r="G67" s="8">
        <v>9.5999999999999992E-3</v>
      </c>
      <c r="H67" s="14">
        <v>7.3433999999999999E-2</v>
      </c>
      <c r="I67" s="33"/>
    </row>
    <row r="68" spans="1:9" ht="12.95" customHeight="1" x14ac:dyDescent="0.2">
      <c r="A68" s="5" t="s">
        <v>556</v>
      </c>
      <c r="B68" s="32" t="s">
        <v>1325</v>
      </c>
      <c r="C68" s="4" t="s">
        <v>557</v>
      </c>
      <c r="D68" s="4" t="s">
        <v>332</v>
      </c>
      <c r="E68" s="6">
        <v>2500000</v>
      </c>
      <c r="F68" s="7">
        <v>2537.4</v>
      </c>
      <c r="G68" s="8">
        <v>9.4999999999999998E-3</v>
      </c>
      <c r="H68" s="14">
        <v>7.4659000000000003E-2</v>
      </c>
      <c r="I68" s="33"/>
    </row>
    <row r="69" spans="1:9" ht="12.95" customHeight="1" x14ac:dyDescent="0.2">
      <c r="A69" s="5" t="s">
        <v>532</v>
      </c>
      <c r="B69" s="32" t="s">
        <v>1314</v>
      </c>
      <c r="C69" s="4" t="s">
        <v>533</v>
      </c>
      <c r="D69" s="4" t="s">
        <v>332</v>
      </c>
      <c r="E69" s="6">
        <v>2500000</v>
      </c>
      <c r="F69" s="7">
        <v>2512</v>
      </c>
      <c r="G69" s="8">
        <v>9.4000000000000004E-3</v>
      </c>
      <c r="H69" s="14">
        <v>7.0246000000000003E-2</v>
      </c>
      <c r="I69" s="33"/>
    </row>
    <row r="70" spans="1:9" ht="12.95" customHeight="1" x14ac:dyDescent="0.2">
      <c r="A70" s="5" t="s">
        <v>494</v>
      </c>
      <c r="B70" s="32" t="s">
        <v>1296</v>
      </c>
      <c r="C70" s="4" t="s">
        <v>495</v>
      </c>
      <c r="D70" s="4" t="s">
        <v>332</v>
      </c>
      <c r="E70" s="6">
        <v>2500000</v>
      </c>
      <c r="F70" s="7">
        <v>2498.04</v>
      </c>
      <c r="G70" s="8">
        <v>9.4000000000000004E-3</v>
      </c>
      <c r="H70" s="14">
        <v>7.4800000000000005E-2</v>
      </c>
      <c r="I70" s="33"/>
    </row>
    <row r="71" spans="1:9" ht="12.95" customHeight="1" x14ac:dyDescent="0.2">
      <c r="A71" s="5" t="s">
        <v>482</v>
      </c>
      <c r="B71" s="32" t="s">
        <v>1410</v>
      </c>
      <c r="C71" s="4" t="s">
        <v>483</v>
      </c>
      <c r="D71" s="4" t="s">
        <v>484</v>
      </c>
      <c r="E71" s="6">
        <v>2500</v>
      </c>
      <c r="F71" s="7">
        <v>2495.4899999999998</v>
      </c>
      <c r="G71" s="8">
        <v>9.4000000000000004E-3</v>
      </c>
      <c r="H71" s="14">
        <v>7.5399999999999995E-2</v>
      </c>
      <c r="I71" s="33"/>
    </row>
    <row r="72" spans="1:9" ht="12.95" customHeight="1" x14ac:dyDescent="0.2">
      <c r="A72" s="5" t="s">
        <v>973</v>
      </c>
      <c r="B72" s="32" t="s">
        <v>1416</v>
      </c>
      <c r="C72" s="4" t="s">
        <v>974</v>
      </c>
      <c r="D72" s="4" t="s">
        <v>484</v>
      </c>
      <c r="E72" s="6">
        <v>2500</v>
      </c>
      <c r="F72" s="7">
        <v>2491.9899999999998</v>
      </c>
      <c r="G72" s="8">
        <v>9.2999999999999992E-3</v>
      </c>
      <c r="H72" s="14">
        <v>7.5399999999999995E-2</v>
      </c>
      <c r="I72" s="33"/>
    </row>
    <row r="73" spans="1:9" ht="12.95" customHeight="1" x14ac:dyDescent="0.2">
      <c r="A73" s="5" t="s">
        <v>975</v>
      </c>
      <c r="B73" s="32" t="s">
        <v>1371</v>
      </c>
      <c r="C73" s="4" t="s">
        <v>976</v>
      </c>
      <c r="D73" s="4" t="s">
        <v>484</v>
      </c>
      <c r="E73" s="6">
        <v>2500</v>
      </c>
      <c r="F73" s="7">
        <v>2489.63</v>
      </c>
      <c r="G73" s="8">
        <v>9.2999999999999992E-3</v>
      </c>
      <c r="H73" s="14">
        <v>7.6850000000000002E-2</v>
      </c>
      <c r="I73" s="33"/>
    </row>
    <row r="74" spans="1:9" ht="12.95" customHeight="1" x14ac:dyDescent="0.2">
      <c r="A74" s="5" t="s">
        <v>977</v>
      </c>
      <c r="B74" s="32" t="s">
        <v>1372</v>
      </c>
      <c r="C74" s="4" t="s">
        <v>978</v>
      </c>
      <c r="D74" s="4" t="s">
        <v>484</v>
      </c>
      <c r="E74" s="6">
        <v>2500</v>
      </c>
      <c r="F74" s="7">
        <v>2483.1999999999998</v>
      </c>
      <c r="G74" s="8">
        <v>9.2999999999999992E-3</v>
      </c>
      <c r="H74" s="14">
        <v>7.7600000000000002E-2</v>
      </c>
      <c r="I74" s="33"/>
    </row>
    <row r="75" spans="1:9" ht="12.95" customHeight="1" x14ac:dyDescent="0.2">
      <c r="A75" s="5" t="s">
        <v>498</v>
      </c>
      <c r="B75" s="32" t="s">
        <v>1298</v>
      </c>
      <c r="C75" s="4" t="s">
        <v>499</v>
      </c>
      <c r="D75" s="4" t="s">
        <v>484</v>
      </c>
      <c r="E75" s="6">
        <v>2500</v>
      </c>
      <c r="F75" s="7">
        <v>2478.31</v>
      </c>
      <c r="G75" s="8">
        <v>9.2999999999999992E-3</v>
      </c>
      <c r="H75" s="14">
        <v>7.6499999999999999E-2</v>
      </c>
      <c r="I75" s="33"/>
    </row>
    <row r="76" spans="1:9" ht="12.95" customHeight="1" x14ac:dyDescent="0.2">
      <c r="A76" s="5" t="s">
        <v>500</v>
      </c>
      <c r="B76" s="32" t="s">
        <v>1412</v>
      </c>
      <c r="C76" s="4" t="s">
        <v>501</v>
      </c>
      <c r="D76" s="4" t="s">
        <v>484</v>
      </c>
      <c r="E76" s="6">
        <v>2500</v>
      </c>
      <c r="F76" s="7">
        <v>2477.63</v>
      </c>
      <c r="G76" s="8">
        <v>9.2999999999999992E-3</v>
      </c>
      <c r="H76" s="14">
        <v>7.7899999999999997E-2</v>
      </c>
      <c r="I76" s="33"/>
    </row>
    <row r="77" spans="1:9" ht="12.95" customHeight="1" x14ac:dyDescent="0.2">
      <c r="A77" s="5" t="s">
        <v>474</v>
      </c>
      <c r="B77" s="32" t="s">
        <v>1289</v>
      </c>
      <c r="C77" s="4" t="s">
        <v>475</v>
      </c>
      <c r="D77" s="4" t="s">
        <v>332</v>
      </c>
      <c r="E77" s="6">
        <v>2500000</v>
      </c>
      <c r="F77" s="7">
        <v>2469.88</v>
      </c>
      <c r="G77" s="8">
        <v>9.2999999999999992E-3</v>
      </c>
      <c r="H77" s="14">
        <v>7.7182000000000001E-2</v>
      </c>
      <c r="I77" s="33"/>
    </row>
    <row r="78" spans="1:9" ht="12.95" customHeight="1" x14ac:dyDescent="0.2">
      <c r="A78" s="5" t="s">
        <v>632</v>
      </c>
      <c r="B78" s="32" t="s">
        <v>1363</v>
      </c>
      <c r="C78" s="4" t="s">
        <v>633</v>
      </c>
      <c r="D78" s="4" t="s">
        <v>332</v>
      </c>
      <c r="E78" s="6">
        <v>2500000</v>
      </c>
      <c r="F78" s="7">
        <v>2459.94</v>
      </c>
      <c r="G78" s="8">
        <v>9.1999999999999998E-3</v>
      </c>
      <c r="H78" s="14">
        <v>7.4827000000000005E-2</v>
      </c>
      <c r="I78" s="33"/>
    </row>
    <row r="79" spans="1:9" ht="12.95" customHeight="1" x14ac:dyDescent="0.2">
      <c r="A79" s="5" t="s">
        <v>506</v>
      </c>
      <c r="B79" s="32" t="s">
        <v>1301</v>
      </c>
      <c r="C79" s="4" t="s">
        <v>507</v>
      </c>
      <c r="D79" s="4" t="s">
        <v>332</v>
      </c>
      <c r="E79" s="6">
        <v>2500000</v>
      </c>
      <c r="F79" s="7">
        <v>2457.7399999999998</v>
      </c>
      <c r="G79" s="8">
        <v>9.1999999999999998E-3</v>
      </c>
      <c r="H79" s="14">
        <v>7.6361999999999999E-2</v>
      </c>
      <c r="I79" s="33"/>
    </row>
    <row r="80" spans="1:9" ht="12.95" customHeight="1" x14ac:dyDescent="0.2">
      <c r="A80" s="5" t="s">
        <v>542</v>
      </c>
      <c r="B80" s="32" t="s">
        <v>1318</v>
      </c>
      <c r="C80" s="4" t="s">
        <v>543</v>
      </c>
      <c r="D80" s="4" t="s">
        <v>484</v>
      </c>
      <c r="E80" s="6">
        <v>2500</v>
      </c>
      <c r="F80" s="7">
        <v>2454.52</v>
      </c>
      <c r="G80" s="8">
        <v>9.1999999999999998E-3</v>
      </c>
      <c r="H80" s="14">
        <v>7.8799999999999995E-2</v>
      </c>
      <c r="I80" s="33"/>
    </row>
    <row r="81" spans="1:9" ht="12.95" customHeight="1" x14ac:dyDescent="0.2">
      <c r="A81" s="5" t="s">
        <v>979</v>
      </c>
      <c r="B81" s="32" t="s">
        <v>1373</v>
      </c>
      <c r="C81" s="4" t="s">
        <v>980</v>
      </c>
      <c r="D81" s="4" t="s">
        <v>332</v>
      </c>
      <c r="E81" s="6">
        <v>2500000</v>
      </c>
      <c r="F81" s="7">
        <v>2447</v>
      </c>
      <c r="G81" s="8">
        <v>9.1999999999999998E-3</v>
      </c>
      <c r="H81" s="14">
        <v>7.6361999999999999E-2</v>
      </c>
      <c r="I81" s="33"/>
    </row>
    <row r="82" spans="1:9" ht="12.95" customHeight="1" x14ac:dyDescent="0.2">
      <c r="A82" s="5" t="s">
        <v>514</v>
      </c>
      <c r="B82" s="32" t="s">
        <v>1305</v>
      </c>
      <c r="C82" s="4" t="s">
        <v>515</v>
      </c>
      <c r="D82" s="4" t="s">
        <v>332</v>
      </c>
      <c r="E82" s="6">
        <v>2300100</v>
      </c>
      <c r="F82" s="7">
        <v>2333.73</v>
      </c>
      <c r="G82" s="8">
        <v>8.8000000000000005E-3</v>
      </c>
      <c r="H82" s="14">
        <v>7.5609999999999997E-2</v>
      </c>
      <c r="I82" s="33"/>
    </row>
    <row r="83" spans="1:9" ht="12.95" customHeight="1" x14ac:dyDescent="0.2">
      <c r="A83" s="5" t="s">
        <v>981</v>
      </c>
      <c r="B83" s="32" t="s">
        <v>1374</v>
      </c>
      <c r="C83" s="4" t="s">
        <v>982</v>
      </c>
      <c r="D83" s="4" t="s">
        <v>332</v>
      </c>
      <c r="E83" s="6">
        <v>2000000</v>
      </c>
      <c r="F83" s="7">
        <v>2021.07</v>
      </c>
      <c r="G83" s="8">
        <v>7.6E-3</v>
      </c>
      <c r="H83" s="14">
        <v>7.6822000000000001E-2</v>
      </c>
      <c r="I83" s="33"/>
    </row>
    <row r="84" spans="1:9" ht="12.95" customHeight="1" x14ac:dyDescent="0.2">
      <c r="A84" s="5" t="s">
        <v>620</v>
      </c>
      <c r="B84" s="32" t="s">
        <v>1357</v>
      </c>
      <c r="C84" s="4" t="s">
        <v>621</v>
      </c>
      <c r="D84" s="4" t="s">
        <v>332</v>
      </c>
      <c r="E84" s="6">
        <v>2000000</v>
      </c>
      <c r="F84" s="7">
        <v>1990.27</v>
      </c>
      <c r="G84" s="8">
        <v>7.4999999999999997E-3</v>
      </c>
      <c r="H84" s="14">
        <v>7.5627E-2</v>
      </c>
      <c r="I84" s="33"/>
    </row>
    <row r="85" spans="1:9" ht="12.95" customHeight="1" x14ac:dyDescent="0.2">
      <c r="A85" s="5" t="s">
        <v>487</v>
      </c>
      <c r="B85" s="32" t="s">
        <v>1294</v>
      </c>
      <c r="C85" s="4" t="s">
        <v>488</v>
      </c>
      <c r="D85" s="4" t="s">
        <v>332</v>
      </c>
      <c r="E85" s="6">
        <v>2000000</v>
      </c>
      <c r="F85" s="7">
        <v>1952.83</v>
      </c>
      <c r="G85" s="8">
        <v>7.3000000000000001E-3</v>
      </c>
      <c r="H85" s="14">
        <v>7.4697E-2</v>
      </c>
      <c r="I85" s="33"/>
    </row>
    <row r="86" spans="1:9" ht="12.95" customHeight="1" x14ac:dyDescent="0.2">
      <c r="A86" s="5" t="s">
        <v>598</v>
      </c>
      <c r="B86" s="32" t="s">
        <v>1346</v>
      </c>
      <c r="C86" s="4" t="s">
        <v>599</v>
      </c>
      <c r="D86" s="4" t="s">
        <v>332</v>
      </c>
      <c r="E86" s="6">
        <v>1500000</v>
      </c>
      <c r="F86" s="7">
        <v>1552.55</v>
      </c>
      <c r="G86" s="8">
        <v>5.7999999999999996E-3</v>
      </c>
      <c r="H86" s="14">
        <v>7.4762999999999996E-2</v>
      </c>
      <c r="I86" s="33"/>
    </row>
    <row r="87" spans="1:9" ht="12.95" customHeight="1" x14ac:dyDescent="0.2">
      <c r="A87" s="5" t="s">
        <v>576</v>
      </c>
      <c r="B87" s="32" t="s">
        <v>1335</v>
      </c>
      <c r="C87" s="4" t="s">
        <v>577</v>
      </c>
      <c r="D87" s="4" t="s">
        <v>332</v>
      </c>
      <c r="E87" s="6">
        <v>1500000</v>
      </c>
      <c r="F87" s="7">
        <v>1499.43</v>
      </c>
      <c r="G87" s="8">
        <v>5.5999999999999999E-3</v>
      </c>
      <c r="H87" s="14">
        <v>7.4800000000000005E-2</v>
      </c>
      <c r="I87" s="33"/>
    </row>
    <row r="88" spans="1:9" ht="12.95" customHeight="1" x14ac:dyDescent="0.2">
      <c r="A88" s="5" t="s">
        <v>983</v>
      </c>
      <c r="B88" s="32" t="s">
        <v>1375</v>
      </c>
      <c r="C88" s="4" t="s">
        <v>984</v>
      </c>
      <c r="D88" s="4" t="s">
        <v>332</v>
      </c>
      <c r="E88" s="6">
        <v>1500000</v>
      </c>
      <c r="F88" s="7">
        <v>1474.58</v>
      </c>
      <c r="G88" s="8">
        <v>5.4999999999999997E-3</v>
      </c>
      <c r="H88" s="14">
        <v>7.5202000000000005E-2</v>
      </c>
      <c r="I88" s="33"/>
    </row>
    <row r="89" spans="1:9" ht="12.95" customHeight="1" x14ac:dyDescent="0.2">
      <c r="A89" s="5" t="s">
        <v>480</v>
      </c>
      <c r="B89" s="32" t="s">
        <v>1292</v>
      </c>
      <c r="C89" s="4" t="s">
        <v>481</v>
      </c>
      <c r="D89" s="4" t="s">
        <v>332</v>
      </c>
      <c r="E89" s="6">
        <v>1000000</v>
      </c>
      <c r="F89" s="7">
        <v>1022</v>
      </c>
      <c r="G89" s="8">
        <v>3.8E-3</v>
      </c>
      <c r="H89" s="14">
        <v>7.3088E-2</v>
      </c>
      <c r="I89" s="33"/>
    </row>
    <row r="90" spans="1:9" ht="12.95" customHeight="1" x14ac:dyDescent="0.2">
      <c r="A90" s="5" t="s">
        <v>476</v>
      </c>
      <c r="B90" s="32" t="s">
        <v>1290</v>
      </c>
      <c r="C90" s="4" t="s">
        <v>477</v>
      </c>
      <c r="D90" s="4" t="s">
        <v>332</v>
      </c>
      <c r="E90" s="6">
        <v>1000000</v>
      </c>
      <c r="F90" s="7">
        <v>1020.17</v>
      </c>
      <c r="G90" s="8">
        <v>3.8E-3</v>
      </c>
      <c r="H90" s="14">
        <v>7.5627E-2</v>
      </c>
      <c r="I90" s="33"/>
    </row>
    <row r="91" spans="1:9" ht="12.95" customHeight="1" x14ac:dyDescent="0.2">
      <c r="A91" s="5" t="s">
        <v>985</v>
      </c>
      <c r="B91" s="32" t="s">
        <v>1376</v>
      </c>
      <c r="C91" s="4" t="s">
        <v>986</v>
      </c>
      <c r="D91" s="4" t="s">
        <v>332</v>
      </c>
      <c r="E91" s="6">
        <v>1000000</v>
      </c>
      <c r="F91" s="7">
        <v>1019.1</v>
      </c>
      <c r="G91" s="8">
        <v>3.8E-3</v>
      </c>
      <c r="H91" s="14">
        <v>7.3088E-2</v>
      </c>
      <c r="I91" s="33"/>
    </row>
    <row r="92" spans="1:9" ht="12.95" customHeight="1" x14ac:dyDescent="0.2">
      <c r="A92" s="5" t="s">
        <v>987</v>
      </c>
      <c r="B92" s="32" t="s">
        <v>1377</v>
      </c>
      <c r="C92" s="4" t="s">
        <v>988</v>
      </c>
      <c r="D92" s="4" t="s">
        <v>332</v>
      </c>
      <c r="E92" s="6">
        <v>1000000</v>
      </c>
      <c r="F92" s="7">
        <v>1015.13</v>
      </c>
      <c r="G92" s="8">
        <v>3.8E-3</v>
      </c>
      <c r="H92" s="14">
        <v>7.6322000000000001E-2</v>
      </c>
      <c r="I92" s="33"/>
    </row>
    <row r="93" spans="1:9" ht="12.95" customHeight="1" x14ac:dyDescent="0.2">
      <c r="A93" s="5" t="s">
        <v>989</v>
      </c>
      <c r="B93" s="32" t="s">
        <v>1378</v>
      </c>
      <c r="C93" s="4" t="s">
        <v>990</v>
      </c>
      <c r="D93" s="4" t="s">
        <v>332</v>
      </c>
      <c r="E93" s="6">
        <v>1000000</v>
      </c>
      <c r="F93" s="7">
        <v>1013.32</v>
      </c>
      <c r="G93" s="8">
        <v>3.8E-3</v>
      </c>
      <c r="H93" s="14">
        <v>7.5609999999999997E-2</v>
      </c>
      <c r="I93" s="33"/>
    </row>
    <row r="94" spans="1:9" ht="12.95" customHeight="1" x14ac:dyDescent="0.2">
      <c r="A94" s="5" t="s">
        <v>508</v>
      </c>
      <c r="B94" s="32" t="s">
        <v>1302</v>
      </c>
      <c r="C94" s="4" t="s">
        <v>509</v>
      </c>
      <c r="D94" s="4" t="s">
        <v>332</v>
      </c>
      <c r="E94" s="6">
        <v>1000000</v>
      </c>
      <c r="F94" s="7">
        <v>1010.92</v>
      </c>
      <c r="G94" s="8">
        <v>3.8E-3</v>
      </c>
      <c r="H94" s="14">
        <v>7.5627E-2</v>
      </c>
      <c r="I94" s="33"/>
    </row>
    <row r="95" spans="1:9" ht="12.95" customHeight="1" x14ac:dyDescent="0.2">
      <c r="A95" s="5" t="s">
        <v>991</v>
      </c>
      <c r="B95" s="32" t="s">
        <v>1379</v>
      </c>
      <c r="C95" s="4" t="s">
        <v>992</v>
      </c>
      <c r="D95" s="4" t="s">
        <v>332</v>
      </c>
      <c r="E95" s="6">
        <v>1000000</v>
      </c>
      <c r="F95" s="7">
        <v>1010.61</v>
      </c>
      <c r="G95" s="8">
        <v>3.8E-3</v>
      </c>
      <c r="H95" s="14">
        <v>7.4659000000000003E-2</v>
      </c>
      <c r="I95" s="33"/>
    </row>
    <row r="96" spans="1:9" ht="12.95" customHeight="1" x14ac:dyDescent="0.2">
      <c r="A96" s="5" t="s">
        <v>993</v>
      </c>
      <c r="B96" s="32" t="s">
        <v>1380</v>
      </c>
      <c r="C96" s="4" t="s">
        <v>994</v>
      </c>
      <c r="D96" s="4" t="s">
        <v>332</v>
      </c>
      <c r="E96" s="6">
        <v>1000000</v>
      </c>
      <c r="F96" s="7">
        <v>991.53</v>
      </c>
      <c r="G96" s="8">
        <v>3.7000000000000002E-3</v>
      </c>
      <c r="H96" s="14">
        <v>7.6822000000000001E-2</v>
      </c>
      <c r="I96" s="33"/>
    </row>
    <row r="97" spans="1:9" ht="12.95" customHeight="1" x14ac:dyDescent="0.2">
      <c r="A97" s="5" t="s">
        <v>995</v>
      </c>
      <c r="B97" s="32" t="s">
        <v>1381</v>
      </c>
      <c r="C97" s="4" t="s">
        <v>996</v>
      </c>
      <c r="D97" s="4" t="s">
        <v>332</v>
      </c>
      <c r="E97" s="6">
        <v>1000000</v>
      </c>
      <c r="F97" s="7">
        <v>991.13</v>
      </c>
      <c r="G97" s="8">
        <v>3.7000000000000002E-3</v>
      </c>
      <c r="H97" s="14">
        <v>7.6822000000000001E-2</v>
      </c>
      <c r="I97" s="33"/>
    </row>
    <row r="98" spans="1:9" ht="12.95" customHeight="1" x14ac:dyDescent="0.2">
      <c r="A98" s="5" t="s">
        <v>470</v>
      </c>
      <c r="B98" s="32" t="s">
        <v>1287</v>
      </c>
      <c r="C98" s="4" t="s">
        <v>471</v>
      </c>
      <c r="D98" s="4" t="s">
        <v>332</v>
      </c>
      <c r="E98" s="6">
        <v>1000000</v>
      </c>
      <c r="F98" s="7">
        <v>987.75</v>
      </c>
      <c r="G98" s="8">
        <v>3.7000000000000002E-3</v>
      </c>
      <c r="H98" s="14">
        <v>7.4929999999999997E-2</v>
      </c>
      <c r="I98" s="33"/>
    </row>
    <row r="99" spans="1:9" ht="12.95" customHeight="1" x14ac:dyDescent="0.2">
      <c r="A99" s="5" t="s">
        <v>580</v>
      </c>
      <c r="B99" s="32" t="s">
        <v>1337</v>
      </c>
      <c r="C99" s="4" t="s">
        <v>581</v>
      </c>
      <c r="D99" s="4" t="s">
        <v>332</v>
      </c>
      <c r="E99" s="6">
        <v>1000000</v>
      </c>
      <c r="F99" s="7">
        <v>985.94</v>
      </c>
      <c r="G99" s="8">
        <v>3.7000000000000002E-3</v>
      </c>
      <c r="H99" s="14">
        <v>7.5325000000000003E-2</v>
      </c>
      <c r="I99" s="33"/>
    </row>
    <row r="100" spans="1:9" ht="12.95" customHeight="1" x14ac:dyDescent="0.2">
      <c r="A100" s="5" t="s">
        <v>584</v>
      </c>
      <c r="B100" s="32" t="s">
        <v>1339</v>
      </c>
      <c r="C100" s="4" t="s">
        <v>585</v>
      </c>
      <c r="D100" s="4" t="s">
        <v>332</v>
      </c>
      <c r="E100" s="6">
        <v>1000000</v>
      </c>
      <c r="F100" s="7">
        <v>983.49</v>
      </c>
      <c r="G100" s="8">
        <v>3.7000000000000002E-3</v>
      </c>
      <c r="H100" s="14">
        <v>7.5627E-2</v>
      </c>
      <c r="I100" s="33"/>
    </row>
    <row r="101" spans="1:9" ht="12.95" customHeight="1" x14ac:dyDescent="0.2">
      <c r="A101" s="5" t="s">
        <v>997</v>
      </c>
      <c r="B101" s="32" t="s">
        <v>1382</v>
      </c>
      <c r="C101" s="4" t="s">
        <v>998</v>
      </c>
      <c r="D101" s="4" t="s">
        <v>332</v>
      </c>
      <c r="E101" s="6">
        <v>1000000</v>
      </c>
      <c r="F101" s="7">
        <v>978.24</v>
      </c>
      <c r="G101" s="8">
        <v>3.7000000000000002E-3</v>
      </c>
      <c r="H101" s="14">
        <v>7.4697E-2</v>
      </c>
      <c r="I101" s="33"/>
    </row>
    <row r="102" spans="1:9" ht="12.95" customHeight="1" x14ac:dyDescent="0.2">
      <c r="A102" s="5" t="s">
        <v>558</v>
      </c>
      <c r="B102" s="32" t="s">
        <v>1326</v>
      </c>
      <c r="C102" s="4" t="s">
        <v>559</v>
      </c>
      <c r="D102" s="4" t="s">
        <v>484</v>
      </c>
      <c r="E102" s="6">
        <v>1000</v>
      </c>
      <c r="F102" s="7">
        <v>977.34</v>
      </c>
      <c r="G102" s="8">
        <v>3.7000000000000002E-3</v>
      </c>
      <c r="H102" s="14">
        <v>7.9299999999999995E-2</v>
      </c>
      <c r="I102" s="33"/>
    </row>
    <row r="103" spans="1:9" ht="12.95" customHeight="1" x14ac:dyDescent="0.2">
      <c r="A103" s="5" t="s">
        <v>999</v>
      </c>
      <c r="B103" s="32" t="s">
        <v>1383</v>
      </c>
      <c r="C103" s="4" t="s">
        <v>1000</v>
      </c>
      <c r="D103" s="4" t="s">
        <v>332</v>
      </c>
      <c r="E103" s="6">
        <v>1000000</v>
      </c>
      <c r="F103" s="7">
        <v>974.27</v>
      </c>
      <c r="G103" s="8">
        <v>3.7000000000000002E-3</v>
      </c>
      <c r="H103" s="14">
        <v>7.2984999999999994E-2</v>
      </c>
      <c r="I103" s="33"/>
    </row>
    <row r="104" spans="1:9" ht="12.95" customHeight="1" x14ac:dyDescent="0.2">
      <c r="A104" s="5" t="s">
        <v>590</v>
      </c>
      <c r="B104" s="32" t="s">
        <v>1342</v>
      </c>
      <c r="C104" s="4" t="s">
        <v>591</v>
      </c>
      <c r="D104" s="4" t="s">
        <v>332</v>
      </c>
      <c r="E104" s="6">
        <v>1000000</v>
      </c>
      <c r="F104" s="7">
        <v>972.05</v>
      </c>
      <c r="G104" s="8">
        <v>3.5999999999999999E-3</v>
      </c>
      <c r="H104" s="14">
        <v>7.5523000000000007E-2</v>
      </c>
      <c r="I104" s="33"/>
    </row>
    <row r="105" spans="1:9" ht="12.95" customHeight="1" x14ac:dyDescent="0.2">
      <c r="A105" s="5" t="s">
        <v>642</v>
      </c>
      <c r="B105" s="32" t="s">
        <v>1368</v>
      </c>
      <c r="C105" s="4" t="s">
        <v>643</v>
      </c>
      <c r="D105" s="4" t="s">
        <v>332</v>
      </c>
      <c r="E105" s="6">
        <v>1000000</v>
      </c>
      <c r="F105" s="7">
        <v>969.56</v>
      </c>
      <c r="G105" s="8">
        <v>3.5999999999999999E-3</v>
      </c>
      <c r="H105" s="14">
        <v>7.2882000000000002E-2</v>
      </c>
      <c r="I105" s="33"/>
    </row>
    <row r="106" spans="1:9" ht="12.95" customHeight="1" x14ac:dyDescent="0.2">
      <c r="A106" s="5" t="s">
        <v>1001</v>
      </c>
      <c r="B106" s="32" t="s">
        <v>1384</v>
      </c>
      <c r="C106" s="4" t="s">
        <v>1002</v>
      </c>
      <c r="D106" s="4" t="s">
        <v>332</v>
      </c>
      <c r="E106" s="6">
        <v>1000000</v>
      </c>
      <c r="F106" s="7">
        <v>968.5</v>
      </c>
      <c r="G106" s="8">
        <v>3.5999999999999999E-3</v>
      </c>
      <c r="H106" s="14">
        <v>7.4554999999999996E-2</v>
      </c>
      <c r="I106" s="33"/>
    </row>
    <row r="107" spans="1:9" ht="12.95" customHeight="1" x14ac:dyDescent="0.2">
      <c r="A107" s="5" t="s">
        <v>546</v>
      </c>
      <c r="B107" s="32" t="s">
        <v>1320</v>
      </c>
      <c r="C107" s="4" t="s">
        <v>547</v>
      </c>
      <c r="D107" s="4" t="s">
        <v>332</v>
      </c>
      <c r="E107" s="6">
        <v>1000000</v>
      </c>
      <c r="F107" s="7">
        <v>962.95</v>
      </c>
      <c r="G107" s="8">
        <v>3.5999999999999999E-3</v>
      </c>
      <c r="H107" s="14">
        <v>7.6717999999999995E-2</v>
      </c>
      <c r="I107" s="33"/>
    </row>
    <row r="108" spans="1:9" ht="12.95" customHeight="1" x14ac:dyDescent="0.2">
      <c r="A108" s="5" t="s">
        <v>1003</v>
      </c>
      <c r="B108" s="32" t="s">
        <v>1385</v>
      </c>
      <c r="C108" s="4" t="s">
        <v>1004</v>
      </c>
      <c r="D108" s="4" t="s">
        <v>332</v>
      </c>
      <c r="E108" s="6">
        <v>1000000</v>
      </c>
      <c r="F108" s="7">
        <v>958.24</v>
      </c>
      <c r="G108" s="8">
        <v>3.5999999999999999E-3</v>
      </c>
      <c r="H108" s="14">
        <v>7.5523000000000007E-2</v>
      </c>
      <c r="I108" s="33"/>
    </row>
    <row r="109" spans="1:9" ht="12.95" customHeight="1" x14ac:dyDescent="0.2">
      <c r="A109" s="5" t="s">
        <v>548</v>
      </c>
      <c r="B109" s="32" t="s">
        <v>1321</v>
      </c>
      <c r="C109" s="4" t="s">
        <v>549</v>
      </c>
      <c r="D109" s="4" t="s">
        <v>332</v>
      </c>
      <c r="E109" s="6">
        <v>500000</v>
      </c>
      <c r="F109" s="7">
        <v>524.94000000000005</v>
      </c>
      <c r="G109" s="8">
        <v>2E-3</v>
      </c>
      <c r="H109" s="14">
        <v>7.5067999999999996E-2</v>
      </c>
      <c r="I109" s="33"/>
    </row>
    <row r="110" spans="1:9" ht="12.95" customHeight="1" x14ac:dyDescent="0.2">
      <c r="A110" s="5" t="s">
        <v>1005</v>
      </c>
      <c r="B110" s="32" t="s">
        <v>1386</v>
      </c>
      <c r="C110" s="4" t="s">
        <v>1006</v>
      </c>
      <c r="D110" s="4" t="s">
        <v>332</v>
      </c>
      <c r="E110" s="6">
        <v>500000</v>
      </c>
      <c r="F110" s="7">
        <v>512.08000000000004</v>
      </c>
      <c r="G110" s="8">
        <v>1.9E-3</v>
      </c>
      <c r="H110" s="14">
        <v>7.4800000000000005E-2</v>
      </c>
      <c r="I110" s="33"/>
    </row>
    <row r="111" spans="1:9" ht="12.95" customHeight="1" x14ac:dyDescent="0.2">
      <c r="A111" s="5" t="s">
        <v>522</v>
      </c>
      <c r="B111" s="32" t="s">
        <v>1309</v>
      </c>
      <c r="C111" s="4" t="s">
        <v>523</v>
      </c>
      <c r="D111" s="4" t="s">
        <v>332</v>
      </c>
      <c r="E111" s="6">
        <v>500000</v>
      </c>
      <c r="F111" s="7">
        <v>509.29</v>
      </c>
      <c r="G111" s="8">
        <v>1.9E-3</v>
      </c>
      <c r="H111" s="14">
        <v>7.5627E-2</v>
      </c>
      <c r="I111" s="33"/>
    </row>
    <row r="112" spans="1:9" ht="12.95" customHeight="1" x14ac:dyDescent="0.2">
      <c r="A112" s="5" t="s">
        <v>604</v>
      </c>
      <c r="B112" s="32" t="s">
        <v>1349</v>
      </c>
      <c r="C112" s="4" t="s">
        <v>605</v>
      </c>
      <c r="D112" s="4" t="s">
        <v>332</v>
      </c>
      <c r="E112" s="6">
        <v>500000</v>
      </c>
      <c r="F112" s="7">
        <v>506.65</v>
      </c>
      <c r="G112" s="8">
        <v>1.9E-3</v>
      </c>
      <c r="H112" s="14">
        <v>7.5202000000000005E-2</v>
      </c>
      <c r="I112" s="33"/>
    </row>
    <row r="113" spans="1:9" ht="12.95" customHeight="1" x14ac:dyDescent="0.2">
      <c r="A113" s="5" t="s">
        <v>1007</v>
      </c>
      <c r="B113" s="32" t="s">
        <v>1387</v>
      </c>
      <c r="C113" s="4" t="s">
        <v>1008</v>
      </c>
      <c r="D113" s="4" t="s">
        <v>332</v>
      </c>
      <c r="E113" s="6">
        <v>500000</v>
      </c>
      <c r="F113" s="7">
        <v>503.89</v>
      </c>
      <c r="G113" s="8">
        <v>1.9E-3</v>
      </c>
      <c r="H113" s="14">
        <v>7.7355999999999994E-2</v>
      </c>
      <c r="I113" s="33"/>
    </row>
    <row r="114" spans="1:9" ht="12.95" customHeight="1" x14ac:dyDescent="0.2">
      <c r="A114" s="5" t="s">
        <v>1009</v>
      </c>
      <c r="B114" s="32" t="s">
        <v>1388</v>
      </c>
      <c r="C114" s="4" t="s">
        <v>1010</v>
      </c>
      <c r="D114" s="4" t="s">
        <v>332</v>
      </c>
      <c r="E114" s="6">
        <v>500000</v>
      </c>
      <c r="F114" s="7">
        <v>503.18</v>
      </c>
      <c r="G114" s="8">
        <v>1.9E-3</v>
      </c>
      <c r="H114" s="14">
        <v>7.6822000000000001E-2</v>
      </c>
      <c r="I114" s="33"/>
    </row>
    <row r="115" spans="1:9" ht="12.95" customHeight="1" x14ac:dyDescent="0.2">
      <c r="A115" s="5" t="s">
        <v>572</v>
      </c>
      <c r="B115" s="32" t="s">
        <v>1333</v>
      </c>
      <c r="C115" s="4" t="s">
        <v>573</v>
      </c>
      <c r="D115" s="4" t="s">
        <v>332</v>
      </c>
      <c r="E115" s="6">
        <v>500000</v>
      </c>
      <c r="F115" s="7">
        <v>503.09</v>
      </c>
      <c r="G115" s="8">
        <v>1.9E-3</v>
      </c>
      <c r="H115" s="14">
        <v>7.6822000000000001E-2</v>
      </c>
      <c r="I115" s="33"/>
    </row>
    <row r="116" spans="1:9" ht="12.95" customHeight="1" x14ac:dyDescent="0.2">
      <c r="A116" s="5" t="s">
        <v>1011</v>
      </c>
      <c r="B116" s="32" t="s">
        <v>1389</v>
      </c>
      <c r="C116" s="4" t="s">
        <v>1012</v>
      </c>
      <c r="D116" s="4" t="s">
        <v>332</v>
      </c>
      <c r="E116" s="6">
        <v>500000</v>
      </c>
      <c r="F116" s="7">
        <v>502.86</v>
      </c>
      <c r="G116" s="8">
        <v>1.9E-3</v>
      </c>
      <c r="H116" s="14">
        <v>7.6726000000000003E-2</v>
      </c>
      <c r="I116" s="33"/>
    </row>
    <row r="117" spans="1:9" ht="12.95" customHeight="1" x14ac:dyDescent="0.2">
      <c r="A117" s="5" t="s">
        <v>610</v>
      </c>
      <c r="B117" s="32" t="s">
        <v>1352</v>
      </c>
      <c r="C117" s="4" t="s">
        <v>611</v>
      </c>
      <c r="D117" s="4" t="s">
        <v>484</v>
      </c>
      <c r="E117" s="6">
        <v>500</v>
      </c>
      <c r="F117" s="7">
        <v>501.45</v>
      </c>
      <c r="G117" s="8">
        <v>1.9E-3</v>
      </c>
      <c r="H117" s="14">
        <v>7.7546000000000004E-2</v>
      </c>
      <c r="I117" s="33"/>
    </row>
    <row r="118" spans="1:9" ht="12.95" customHeight="1" x14ac:dyDescent="0.2">
      <c r="A118" s="5" t="s">
        <v>540</v>
      </c>
      <c r="B118" s="32" t="s">
        <v>1317</v>
      </c>
      <c r="C118" s="4" t="s">
        <v>541</v>
      </c>
      <c r="D118" s="4" t="s">
        <v>332</v>
      </c>
      <c r="E118" s="6">
        <v>500000</v>
      </c>
      <c r="F118" s="7">
        <v>496.07</v>
      </c>
      <c r="G118" s="8">
        <v>1.9E-3</v>
      </c>
      <c r="H118" s="14">
        <v>7.5627E-2</v>
      </c>
      <c r="I118" s="33"/>
    </row>
    <row r="119" spans="1:9" ht="12.95" customHeight="1" x14ac:dyDescent="0.2">
      <c r="A119" s="5" t="s">
        <v>1013</v>
      </c>
      <c r="B119" s="32" t="s">
        <v>1390</v>
      </c>
      <c r="C119" s="4" t="s">
        <v>1014</v>
      </c>
      <c r="D119" s="4" t="s">
        <v>332</v>
      </c>
      <c r="E119" s="6">
        <v>500000</v>
      </c>
      <c r="F119" s="7">
        <v>495.8</v>
      </c>
      <c r="G119" s="8">
        <v>1.9E-3</v>
      </c>
      <c r="H119" s="14">
        <v>7.6822000000000001E-2</v>
      </c>
      <c r="I119" s="33"/>
    </row>
    <row r="120" spans="1:9" ht="12.95" customHeight="1" x14ac:dyDescent="0.2">
      <c r="A120" s="5" t="s">
        <v>510</v>
      </c>
      <c r="B120" s="32" t="s">
        <v>1303</v>
      </c>
      <c r="C120" s="4" t="s">
        <v>511</v>
      </c>
      <c r="D120" s="4" t="s">
        <v>332</v>
      </c>
      <c r="E120" s="6">
        <v>500000</v>
      </c>
      <c r="F120" s="7">
        <v>495.17</v>
      </c>
      <c r="G120" s="8">
        <v>1.9E-3</v>
      </c>
      <c r="H120" s="14">
        <v>7.5423000000000004E-2</v>
      </c>
      <c r="I120" s="33"/>
    </row>
    <row r="121" spans="1:9" ht="12.95" customHeight="1" x14ac:dyDescent="0.2">
      <c r="A121" s="5" t="s">
        <v>1015</v>
      </c>
      <c r="B121" s="32" t="s">
        <v>1391</v>
      </c>
      <c r="C121" s="4" t="s">
        <v>1016</v>
      </c>
      <c r="D121" s="4" t="s">
        <v>332</v>
      </c>
      <c r="E121" s="6">
        <v>500000</v>
      </c>
      <c r="F121" s="7">
        <v>493.16</v>
      </c>
      <c r="G121" s="8">
        <v>1.8E-3</v>
      </c>
      <c r="H121" s="14">
        <v>7.6257000000000005E-2</v>
      </c>
      <c r="I121" s="33"/>
    </row>
    <row r="122" spans="1:9" ht="12.95" customHeight="1" x14ac:dyDescent="0.2">
      <c r="A122" s="5" t="s">
        <v>1017</v>
      </c>
      <c r="B122" s="32" t="s">
        <v>1392</v>
      </c>
      <c r="C122" s="4" t="s">
        <v>1018</v>
      </c>
      <c r="D122" s="4" t="s">
        <v>332</v>
      </c>
      <c r="E122" s="6">
        <v>500000</v>
      </c>
      <c r="F122" s="7">
        <v>490.23</v>
      </c>
      <c r="G122" s="8">
        <v>1.8E-3</v>
      </c>
      <c r="H122" s="14">
        <v>7.5897000000000006E-2</v>
      </c>
      <c r="I122" s="33"/>
    </row>
    <row r="123" spans="1:9" ht="12.95" customHeight="1" x14ac:dyDescent="0.2">
      <c r="A123" s="5" t="s">
        <v>1019</v>
      </c>
      <c r="B123" s="32" t="s">
        <v>1393</v>
      </c>
      <c r="C123" s="4" t="s">
        <v>1020</v>
      </c>
      <c r="D123" s="4" t="s">
        <v>332</v>
      </c>
      <c r="E123" s="6">
        <v>500000</v>
      </c>
      <c r="F123" s="7">
        <v>487.43</v>
      </c>
      <c r="G123" s="8">
        <v>1.8E-3</v>
      </c>
      <c r="H123" s="14">
        <v>7.2984999999999994E-2</v>
      </c>
      <c r="I123" s="33"/>
    </row>
    <row r="124" spans="1:9" ht="12.95" customHeight="1" x14ac:dyDescent="0.2">
      <c r="A124" s="5" t="s">
        <v>1021</v>
      </c>
      <c r="B124" s="32" t="s">
        <v>1394</v>
      </c>
      <c r="C124" s="4" t="s">
        <v>1022</v>
      </c>
      <c r="D124" s="4" t="s">
        <v>332</v>
      </c>
      <c r="E124" s="6">
        <v>500000</v>
      </c>
      <c r="F124" s="7">
        <v>481.91</v>
      </c>
      <c r="G124" s="8">
        <v>1.8E-3</v>
      </c>
      <c r="H124" s="14">
        <v>7.7253000000000002E-2</v>
      </c>
      <c r="I124" s="33"/>
    </row>
    <row r="125" spans="1:9" ht="12.95" customHeight="1" x14ac:dyDescent="0.2">
      <c r="A125" s="46"/>
      <c r="B125" s="34" t="s">
        <v>128</v>
      </c>
      <c r="C125" s="1"/>
      <c r="D125" s="1"/>
      <c r="E125" s="1"/>
      <c r="F125" s="10">
        <v>145993.06</v>
      </c>
      <c r="G125" s="11">
        <v>0.54749999999999999</v>
      </c>
      <c r="H125" s="12"/>
      <c r="I125" s="35"/>
    </row>
    <row r="126" spans="1:9" ht="12.95" customHeight="1" x14ac:dyDescent="0.2">
      <c r="A126" s="46"/>
      <c r="B126" s="34" t="s">
        <v>359</v>
      </c>
      <c r="C126" s="1"/>
      <c r="D126" s="1"/>
      <c r="E126" s="1"/>
      <c r="F126" s="12" t="s">
        <v>164</v>
      </c>
      <c r="G126" s="12" t="s">
        <v>164</v>
      </c>
      <c r="H126" s="12"/>
      <c r="I126" s="35"/>
    </row>
    <row r="127" spans="1:9" ht="12.95" customHeight="1" x14ac:dyDescent="0.2">
      <c r="A127" s="46"/>
      <c r="B127" s="34" t="s">
        <v>128</v>
      </c>
      <c r="C127" s="1"/>
      <c r="D127" s="1"/>
      <c r="E127" s="1"/>
      <c r="F127" s="12" t="s">
        <v>164</v>
      </c>
      <c r="G127" s="12" t="s">
        <v>164</v>
      </c>
      <c r="H127" s="12"/>
      <c r="I127" s="35"/>
    </row>
    <row r="128" spans="1:9" ht="12.95" customHeight="1" x14ac:dyDescent="0.2">
      <c r="A128" s="46"/>
      <c r="B128" s="34" t="s">
        <v>165</v>
      </c>
      <c r="C128" s="13"/>
      <c r="D128" s="1"/>
      <c r="E128" s="13"/>
      <c r="F128" s="10">
        <v>145993.06</v>
      </c>
      <c r="G128" s="11">
        <v>0.54749999999999999</v>
      </c>
      <c r="H128" s="12"/>
      <c r="I128" s="35"/>
    </row>
    <row r="129" spans="1:9" ht="12.95" customHeight="1" x14ac:dyDescent="0.2">
      <c r="A129" s="46"/>
      <c r="B129" s="31" t="s">
        <v>194</v>
      </c>
      <c r="C129" s="4"/>
      <c r="D129" s="4"/>
      <c r="E129" s="4"/>
      <c r="F129" s="4"/>
      <c r="G129" s="4"/>
      <c r="H129" s="49"/>
      <c r="I129" s="50"/>
    </row>
    <row r="130" spans="1:9" ht="12.95" customHeight="1" x14ac:dyDescent="0.2">
      <c r="A130" s="46"/>
      <c r="B130" s="31" t="s">
        <v>328</v>
      </c>
      <c r="C130" s="4"/>
      <c r="D130" s="4"/>
      <c r="E130" s="4"/>
      <c r="F130" s="51"/>
      <c r="G130" s="49"/>
      <c r="H130" s="49"/>
      <c r="I130" s="50"/>
    </row>
    <row r="131" spans="1:9" ht="12.95" customHeight="1" x14ac:dyDescent="0.2">
      <c r="A131" s="5" t="s">
        <v>336</v>
      </c>
      <c r="B131" s="32" t="s">
        <v>337</v>
      </c>
      <c r="C131" s="4" t="s">
        <v>338</v>
      </c>
      <c r="D131" s="4" t="s">
        <v>332</v>
      </c>
      <c r="E131" s="6">
        <v>500000</v>
      </c>
      <c r="F131" s="7">
        <v>491.28</v>
      </c>
      <c r="G131" s="8">
        <v>1.8E-3</v>
      </c>
      <c r="H131" s="14">
        <v>5.3996000000000002E-2</v>
      </c>
      <c r="I131" s="33"/>
    </row>
    <row r="132" spans="1:9" ht="12.95" customHeight="1" x14ac:dyDescent="0.2">
      <c r="A132" s="46"/>
      <c r="B132" s="34" t="s">
        <v>128</v>
      </c>
      <c r="C132" s="1"/>
      <c r="D132" s="1"/>
      <c r="E132" s="1"/>
      <c r="F132" s="10">
        <v>491.28</v>
      </c>
      <c r="G132" s="11">
        <v>1.8E-3</v>
      </c>
      <c r="H132" s="12"/>
      <c r="I132" s="35"/>
    </row>
    <row r="133" spans="1:9" ht="12.95" customHeight="1" x14ac:dyDescent="0.2">
      <c r="A133" s="46"/>
      <c r="B133" s="34" t="s">
        <v>165</v>
      </c>
      <c r="C133" s="13"/>
      <c r="D133" s="1"/>
      <c r="E133" s="13"/>
      <c r="F133" s="10">
        <v>491.28</v>
      </c>
      <c r="G133" s="11">
        <v>1.8E-3</v>
      </c>
      <c r="H133" s="12"/>
      <c r="I133" s="35"/>
    </row>
    <row r="134" spans="1:9" ht="12.95" customHeight="1" x14ac:dyDescent="0.2">
      <c r="A134" s="46"/>
      <c r="B134" s="31" t="s">
        <v>342</v>
      </c>
      <c r="C134" s="4"/>
      <c r="D134" s="4"/>
      <c r="E134" s="4"/>
      <c r="F134" s="4"/>
      <c r="G134" s="4"/>
      <c r="H134" s="49"/>
      <c r="I134" s="50"/>
    </row>
    <row r="135" spans="1:9" ht="12.95" customHeight="1" x14ac:dyDescent="0.2">
      <c r="A135" s="46"/>
      <c r="B135" s="31" t="s">
        <v>343</v>
      </c>
      <c r="C135" s="4"/>
      <c r="D135" s="4"/>
      <c r="E135" s="4"/>
      <c r="F135" s="51"/>
      <c r="G135" s="49"/>
      <c r="H135" s="49"/>
      <c r="I135" s="50"/>
    </row>
    <row r="136" spans="1:9" ht="12.95" customHeight="1" x14ac:dyDescent="0.2">
      <c r="A136" s="5" t="s">
        <v>344</v>
      </c>
      <c r="B136" s="32" t="s">
        <v>345</v>
      </c>
      <c r="C136" s="4" t="s">
        <v>346</v>
      </c>
      <c r="D136" s="4" t="s">
        <v>183</v>
      </c>
      <c r="E136" s="6">
        <v>862616.16399999999</v>
      </c>
      <c r="F136" s="7">
        <v>13141.6</v>
      </c>
      <c r="G136" s="8">
        <v>4.9299999999999997E-2</v>
      </c>
      <c r="H136" s="14"/>
      <c r="I136" s="33"/>
    </row>
    <row r="137" spans="1:9" ht="12.95" customHeight="1" x14ac:dyDescent="0.2">
      <c r="A137" s="46"/>
      <c r="B137" s="34" t="s">
        <v>128</v>
      </c>
      <c r="C137" s="1"/>
      <c r="D137" s="1"/>
      <c r="E137" s="1"/>
      <c r="F137" s="10">
        <v>13141.6</v>
      </c>
      <c r="G137" s="11">
        <v>4.9299999999999997E-2</v>
      </c>
      <c r="H137" s="12"/>
      <c r="I137" s="35"/>
    </row>
    <row r="138" spans="1:9" ht="12.95" customHeight="1" x14ac:dyDescent="0.2">
      <c r="A138" s="46"/>
      <c r="B138" s="34" t="s">
        <v>165</v>
      </c>
      <c r="C138" s="13"/>
      <c r="D138" s="1"/>
      <c r="E138" s="13"/>
      <c r="F138" s="10">
        <v>13141.6</v>
      </c>
      <c r="G138" s="11">
        <v>4.9299999999999997E-2</v>
      </c>
      <c r="H138" s="12"/>
      <c r="I138" s="35"/>
    </row>
    <row r="139" spans="1:9" ht="12.95" customHeight="1" x14ac:dyDescent="0.2">
      <c r="A139" s="46"/>
      <c r="B139" s="31" t="s">
        <v>347</v>
      </c>
      <c r="C139" s="4"/>
      <c r="D139" s="4"/>
      <c r="E139" s="4"/>
      <c r="F139" s="4"/>
      <c r="G139" s="4"/>
      <c r="H139" s="49"/>
      <c r="I139" s="50"/>
    </row>
    <row r="140" spans="1:9" ht="12.95" customHeight="1" x14ac:dyDescent="0.2">
      <c r="A140" s="5" t="s">
        <v>348</v>
      </c>
      <c r="B140" s="32" t="s">
        <v>348</v>
      </c>
      <c r="C140" s="4"/>
      <c r="D140" s="4" t="s">
        <v>183</v>
      </c>
      <c r="E140" s="6"/>
      <c r="F140" s="7">
        <v>7039.01</v>
      </c>
      <c r="G140" s="8">
        <v>2.64E-2</v>
      </c>
      <c r="H140" s="14">
        <v>5.1216525055930079E-2</v>
      </c>
      <c r="I140" s="33"/>
    </row>
    <row r="141" spans="1:9" ht="12.95" customHeight="1" x14ac:dyDescent="0.2">
      <c r="A141" s="46"/>
      <c r="B141" s="34" t="s">
        <v>128</v>
      </c>
      <c r="C141" s="1"/>
      <c r="D141" s="1"/>
      <c r="E141" s="1"/>
      <c r="F141" s="10">
        <v>7039.01</v>
      </c>
      <c r="G141" s="11">
        <v>2.64E-2</v>
      </c>
      <c r="H141" s="12"/>
      <c r="I141" s="35"/>
    </row>
    <row r="142" spans="1:9" ht="12.95" customHeight="1" x14ac:dyDescent="0.2">
      <c r="A142" s="46"/>
      <c r="B142" s="34" t="s">
        <v>165</v>
      </c>
      <c r="C142" s="13"/>
      <c r="D142" s="1"/>
      <c r="E142" s="13"/>
      <c r="F142" s="10">
        <v>7039.01</v>
      </c>
      <c r="G142" s="11">
        <v>2.64E-2</v>
      </c>
      <c r="H142" s="12"/>
      <c r="I142" s="35"/>
    </row>
    <row r="143" spans="1:9" ht="12.95" customHeight="1" x14ac:dyDescent="0.2">
      <c r="A143" s="46"/>
      <c r="B143" s="34" t="s">
        <v>350</v>
      </c>
      <c r="C143" s="4"/>
      <c r="D143" s="1"/>
      <c r="E143" s="4"/>
      <c r="F143" s="15">
        <f>35954.74+E173</f>
        <v>3163.5699999999997</v>
      </c>
      <c r="G143" s="11">
        <f>13.53%+F173</f>
        <v>1.21E-2</v>
      </c>
      <c r="H143" s="12"/>
      <c r="I143" s="35"/>
    </row>
    <row r="144" spans="1:9" ht="12.95" customHeight="1" x14ac:dyDescent="0.2">
      <c r="A144" s="46"/>
      <c r="B144" s="36" t="s">
        <v>351</v>
      </c>
      <c r="C144" s="23"/>
      <c r="D144" s="23"/>
      <c r="E144" s="23"/>
      <c r="F144" s="24">
        <v>266601.52</v>
      </c>
      <c r="G144" s="25">
        <v>1</v>
      </c>
      <c r="H144" s="26"/>
      <c r="I144" s="37"/>
    </row>
    <row r="146" spans="1:8" ht="12.95" customHeight="1" x14ac:dyDescent="0.2">
      <c r="A146" s="46"/>
      <c r="B146" s="39" t="s">
        <v>179</v>
      </c>
      <c r="C146" s="38"/>
      <c r="D146" s="38"/>
      <c r="E146" s="38"/>
      <c r="F146" s="38"/>
      <c r="G146" s="52"/>
      <c r="H146" s="46"/>
    </row>
    <row r="147" spans="1:8" ht="30" customHeight="1" x14ac:dyDescent="0.2">
      <c r="A147" s="46"/>
      <c r="B147" s="40" t="s">
        <v>2</v>
      </c>
      <c r="C147" s="41" t="s">
        <v>1247</v>
      </c>
      <c r="D147" s="41" t="s">
        <v>5</v>
      </c>
      <c r="E147" s="41" t="s">
        <v>1248</v>
      </c>
      <c r="F147" s="41" t="s">
        <v>1249</v>
      </c>
      <c r="G147" s="53" t="s">
        <v>1250</v>
      </c>
      <c r="H147" s="46"/>
    </row>
    <row r="148" spans="1:8" ht="12.95" customHeight="1" x14ac:dyDescent="0.2">
      <c r="A148" s="46"/>
      <c r="B148" s="40" t="s">
        <v>180</v>
      </c>
      <c r="C148" s="41"/>
      <c r="D148" s="41"/>
      <c r="E148" s="54"/>
      <c r="F148" s="53"/>
      <c r="G148" s="53"/>
      <c r="H148" s="46"/>
    </row>
    <row r="149" spans="1:8" ht="12.95" customHeight="1" x14ac:dyDescent="0.2">
      <c r="A149" s="5" t="s">
        <v>850</v>
      </c>
      <c r="B149" s="42" t="s">
        <v>193</v>
      </c>
      <c r="C149" s="4" t="s">
        <v>1251</v>
      </c>
      <c r="D149" s="7">
        <v>-582000</v>
      </c>
      <c r="E149" s="7">
        <v>-7852.93</v>
      </c>
      <c r="F149" s="8">
        <v>-2.9499999999999998E-2</v>
      </c>
      <c r="G149" s="9"/>
      <c r="H149" s="46"/>
    </row>
    <row r="150" spans="1:8" ht="12.95" customHeight="1" x14ac:dyDescent="0.2">
      <c r="A150" s="5" t="s">
        <v>908</v>
      </c>
      <c r="B150" s="32" t="s">
        <v>955</v>
      </c>
      <c r="C150" s="4" t="s">
        <v>1251</v>
      </c>
      <c r="D150" s="7">
        <v>-965800</v>
      </c>
      <c r="E150" s="7">
        <v>-7107.32</v>
      </c>
      <c r="F150" s="8">
        <v>-2.6700000000000002E-2</v>
      </c>
      <c r="G150" s="9"/>
      <c r="H150" s="46"/>
    </row>
    <row r="151" spans="1:8" ht="12.95" customHeight="1" x14ac:dyDescent="0.2">
      <c r="A151" s="5" t="s">
        <v>882</v>
      </c>
      <c r="B151" s="32" t="s">
        <v>465</v>
      </c>
      <c r="C151" s="4" t="s">
        <v>1251</v>
      </c>
      <c r="D151" s="7">
        <v>-252700</v>
      </c>
      <c r="E151" s="7">
        <v>-4524.59</v>
      </c>
      <c r="F151" s="8">
        <v>-1.7000000000000001E-2</v>
      </c>
      <c r="G151" s="9"/>
      <c r="H151" s="46"/>
    </row>
    <row r="152" spans="1:8" ht="12.95" customHeight="1" x14ac:dyDescent="0.2">
      <c r="A152" s="5" t="s">
        <v>914</v>
      </c>
      <c r="B152" s="32" t="s">
        <v>951</v>
      </c>
      <c r="C152" s="4" t="s">
        <v>1251</v>
      </c>
      <c r="D152" s="7">
        <v>-982000</v>
      </c>
      <c r="E152" s="7">
        <v>-3481.68</v>
      </c>
      <c r="F152" s="8">
        <v>-1.3100000000000001E-2</v>
      </c>
      <c r="G152" s="9"/>
      <c r="H152" s="46"/>
    </row>
    <row r="153" spans="1:8" ht="12.95" customHeight="1" x14ac:dyDescent="0.2">
      <c r="A153" s="5" t="s">
        <v>948</v>
      </c>
      <c r="B153" s="32" t="s">
        <v>467</v>
      </c>
      <c r="C153" s="4" t="s">
        <v>1251</v>
      </c>
      <c r="D153" s="7">
        <v>-192375</v>
      </c>
      <c r="E153" s="7">
        <v>-2151.71</v>
      </c>
      <c r="F153" s="8">
        <v>-8.0999999999999996E-3</v>
      </c>
      <c r="G153" s="9"/>
      <c r="H153" s="46"/>
    </row>
    <row r="154" spans="1:8" ht="12.95" customHeight="1" x14ac:dyDescent="0.2">
      <c r="A154" s="5" t="s">
        <v>186</v>
      </c>
      <c r="B154" s="32" t="s">
        <v>933</v>
      </c>
      <c r="C154" s="4" t="s">
        <v>1251</v>
      </c>
      <c r="D154" s="7">
        <v>-12250</v>
      </c>
      <c r="E154" s="7">
        <v>-1319.57</v>
      </c>
      <c r="F154" s="8">
        <v>-4.8999999999999998E-3</v>
      </c>
      <c r="G154" s="9"/>
      <c r="H154" s="46"/>
    </row>
    <row r="155" spans="1:8" ht="12.95" customHeight="1" x14ac:dyDescent="0.2">
      <c r="A155" s="5" t="s">
        <v>462</v>
      </c>
      <c r="B155" s="32" t="s">
        <v>911</v>
      </c>
      <c r="C155" s="4" t="s">
        <v>1251</v>
      </c>
      <c r="D155" s="7">
        <v>-509250</v>
      </c>
      <c r="E155" s="7">
        <v>-1169.44</v>
      </c>
      <c r="F155" s="8">
        <v>-4.4000000000000003E-3</v>
      </c>
      <c r="G155" s="9"/>
      <c r="H155" s="46"/>
    </row>
    <row r="156" spans="1:8" ht="12.95" customHeight="1" x14ac:dyDescent="0.2">
      <c r="A156" s="5" t="s">
        <v>844</v>
      </c>
      <c r="B156" s="32" t="s">
        <v>191</v>
      </c>
      <c r="C156" s="4" t="s">
        <v>1251</v>
      </c>
      <c r="D156" s="7">
        <v>-22225</v>
      </c>
      <c r="E156" s="7">
        <v>-880.75</v>
      </c>
      <c r="F156" s="8">
        <v>-3.3E-3</v>
      </c>
      <c r="G156" s="9"/>
      <c r="H156" s="46"/>
    </row>
    <row r="157" spans="1:8" ht="12.95" customHeight="1" x14ac:dyDescent="0.2">
      <c r="A157" s="5" t="s">
        <v>940</v>
      </c>
      <c r="B157" s="32" t="s">
        <v>947</v>
      </c>
      <c r="C157" s="4" t="s">
        <v>1251</v>
      </c>
      <c r="D157" s="7">
        <v>-27800</v>
      </c>
      <c r="E157" s="7">
        <v>-825.3</v>
      </c>
      <c r="F157" s="8">
        <v>-3.0999999999999999E-3</v>
      </c>
      <c r="G157" s="9"/>
      <c r="H157" s="46"/>
    </row>
    <row r="158" spans="1:8" ht="12.95" customHeight="1" x14ac:dyDescent="0.2">
      <c r="A158" s="5" t="s">
        <v>888</v>
      </c>
      <c r="B158" s="32" t="s">
        <v>943</v>
      </c>
      <c r="C158" s="4" t="s">
        <v>1251</v>
      </c>
      <c r="D158" s="7">
        <v>-407000</v>
      </c>
      <c r="E158" s="7">
        <v>-783.27</v>
      </c>
      <c r="F158" s="8">
        <v>-2.8999999999999998E-3</v>
      </c>
      <c r="G158" s="9"/>
      <c r="H158" s="46"/>
    </row>
    <row r="159" spans="1:8" ht="12.95" customHeight="1" x14ac:dyDescent="0.2">
      <c r="A159" s="5" t="s">
        <v>874</v>
      </c>
      <c r="B159" s="32" t="s">
        <v>887</v>
      </c>
      <c r="C159" s="4" t="s">
        <v>1251</v>
      </c>
      <c r="D159" s="7">
        <v>-58050</v>
      </c>
      <c r="E159" s="7">
        <v>-653.17999999999995</v>
      </c>
      <c r="F159" s="8">
        <v>-2.5000000000000001E-3</v>
      </c>
      <c r="G159" s="9"/>
      <c r="H159" s="46"/>
    </row>
    <row r="160" spans="1:8" ht="12.95" customHeight="1" x14ac:dyDescent="0.2">
      <c r="A160" s="5" t="s">
        <v>938</v>
      </c>
      <c r="B160" s="32" t="s">
        <v>917</v>
      </c>
      <c r="C160" s="4" t="s">
        <v>1251</v>
      </c>
      <c r="D160" s="7">
        <v>-113850</v>
      </c>
      <c r="E160" s="7">
        <v>-575.63</v>
      </c>
      <c r="F160" s="8">
        <v>-2.2000000000000001E-3</v>
      </c>
      <c r="G160" s="9"/>
      <c r="H160" s="46"/>
    </row>
    <row r="161" spans="1:8" ht="12.95" customHeight="1" x14ac:dyDescent="0.2">
      <c r="A161" s="5" t="s">
        <v>916</v>
      </c>
      <c r="B161" s="32" t="s">
        <v>939</v>
      </c>
      <c r="C161" s="4" t="s">
        <v>1251</v>
      </c>
      <c r="D161" s="7">
        <v>-479250</v>
      </c>
      <c r="E161" s="7">
        <v>-366.77</v>
      </c>
      <c r="F161" s="8">
        <v>-1.4E-3</v>
      </c>
      <c r="G161" s="9"/>
      <c r="H161" s="46"/>
    </row>
    <row r="162" spans="1:8" ht="12.95" customHeight="1" x14ac:dyDescent="0.2">
      <c r="A162" s="5" t="s">
        <v>886</v>
      </c>
      <c r="B162" s="32" t="s">
        <v>875</v>
      </c>
      <c r="C162" s="4" t="s">
        <v>1251</v>
      </c>
      <c r="D162" s="7">
        <v>-19250</v>
      </c>
      <c r="E162" s="7">
        <v>-315.14</v>
      </c>
      <c r="F162" s="8">
        <v>-1.1999999999999999E-3</v>
      </c>
      <c r="G162" s="9"/>
      <c r="H162" s="46"/>
    </row>
    <row r="163" spans="1:8" ht="12.95" customHeight="1" x14ac:dyDescent="0.2">
      <c r="A163" s="5" t="s">
        <v>942</v>
      </c>
      <c r="B163" s="32" t="s">
        <v>889</v>
      </c>
      <c r="C163" s="4" t="s">
        <v>1251</v>
      </c>
      <c r="D163" s="7">
        <v>-71300</v>
      </c>
      <c r="E163" s="7">
        <v>-208.55</v>
      </c>
      <c r="F163" s="8">
        <v>-8.0000000000000004E-4</v>
      </c>
      <c r="G163" s="9"/>
      <c r="H163" s="46"/>
    </row>
    <row r="164" spans="1:8" ht="12.95" customHeight="1" x14ac:dyDescent="0.2">
      <c r="A164" s="5" t="s">
        <v>946</v>
      </c>
      <c r="B164" s="32" t="s">
        <v>941</v>
      </c>
      <c r="C164" s="4" t="s">
        <v>1251</v>
      </c>
      <c r="D164" s="7">
        <v>-65625</v>
      </c>
      <c r="E164" s="7">
        <v>-161.6</v>
      </c>
      <c r="F164" s="8">
        <v>-5.9999999999999995E-4</v>
      </c>
      <c r="G164" s="9"/>
      <c r="H164" s="46"/>
    </row>
    <row r="165" spans="1:8" ht="12.95" customHeight="1" x14ac:dyDescent="0.2">
      <c r="A165" s="5" t="s">
        <v>190</v>
      </c>
      <c r="B165" s="32" t="s">
        <v>845</v>
      </c>
      <c r="C165" s="4" t="s">
        <v>1251</v>
      </c>
      <c r="D165" s="7">
        <v>-7875</v>
      </c>
      <c r="E165" s="7">
        <v>-140.72999999999999</v>
      </c>
      <c r="F165" s="8">
        <v>-5.0000000000000001E-4</v>
      </c>
      <c r="G165" s="9"/>
      <c r="H165" s="46"/>
    </row>
    <row r="166" spans="1:8" ht="12.95" customHeight="1" x14ac:dyDescent="0.2">
      <c r="A166" s="5" t="s">
        <v>910</v>
      </c>
      <c r="B166" s="32" t="s">
        <v>463</v>
      </c>
      <c r="C166" s="4" t="s">
        <v>1251</v>
      </c>
      <c r="D166" s="7">
        <v>-27300</v>
      </c>
      <c r="E166" s="7">
        <v>-109.88</v>
      </c>
      <c r="F166" s="8">
        <v>-4.0000000000000002E-4</v>
      </c>
      <c r="G166" s="9"/>
      <c r="H166" s="46"/>
    </row>
    <row r="167" spans="1:8" ht="12.95" customHeight="1" x14ac:dyDescent="0.2">
      <c r="A167" s="5" t="s">
        <v>932</v>
      </c>
      <c r="B167" s="32" t="s">
        <v>187</v>
      </c>
      <c r="C167" s="4" t="s">
        <v>1251</v>
      </c>
      <c r="D167" s="7">
        <v>-9100</v>
      </c>
      <c r="E167" s="7">
        <v>-80.8</v>
      </c>
      <c r="F167" s="8">
        <v>-2.9999999999999997E-4</v>
      </c>
      <c r="G167" s="9"/>
      <c r="H167" s="46"/>
    </row>
    <row r="168" spans="1:8" ht="12.95" customHeight="1" x14ac:dyDescent="0.2">
      <c r="A168" s="5" t="s">
        <v>466</v>
      </c>
      <c r="B168" s="32" t="s">
        <v>883</v>
      </c>
      <c r="C168" s="4" t="s">
        <v>1251</v>
      </c>
      <c r="D168" s="7">
        <v>-1800</v>
      </c>
      <c r="E168" s="7">
        <v>-15.76</v>
      </c>
      <c r="F168" s="8">
        <v>-1E-4</v>
      </c>
      <c r="G168" s="9"/>
      <c r="H168" s="46"/>
    </row>
    <row r="169" spans="1:8" ht="12.95" customHeight="1" x14ac:dyDescent="0.2">
      <c r="A169" s="5" t="s">
        <v>950</v>
      </c>
      <c r="B169" s="32" t="s">
        <v>915</v>
      </c>
      <c r="C169" s="4" t="s">
        <v>1251</v>
      </c>
      <c r="D169" s="7">
        <v>-14400</v>
      </c>
      <c r="E169" s="7">
        <v>-20.46</v>
      </c>
      <c r="F169" s="8">
        <v>-1E-4</v>
      </c>
      <c r="G169" s="9"/>
      <c r="H169" s="46"/>
    </row>
    <row r="170" spans="1:8" ht="12.95" customHeight="1" x14ac:dyDescent="0.2">
      <c r="A170" s="16" t="s">
        <v>464</v>
      </c>
      <c r="B170" s="43" t="s">
        <v>949</v>
      </c>
      <c r="C170" s="17" t="s">
        <v>1251</v>
      </c>
      <c r="D170" s="19">
        <v>-3125</v>
      </c>
      <c r="E170" s="19">
        <v>-36.479999999999997</v>
      </c>
      <c r="F170" s="20">
        <v>-1E-4</v>
      </c>
      <c r="G170" s="21"/>
      <c r="H170" s="130"/>
    </row>
    <row r="171" spans="1:8" ht="12.95" customHeight="1" x14ac:dyDescent="0.2">
      <c r="A171" s="16" t="s">
        <v>954</v>
      </c>
      <c r="B171" s="43" t="s">
        <v>851</v>
      </c>
      <c r="C171" s="17" t="s">
        <v>1251</v>
      </c>
      <c r="D171" s="19">
        <v>-3150</v>
      </c>
      <c r="E171" s="19">
        <v>-4.3499999999999996</v>
      </c>
      <c r="F171" s="20" t="s">
        <v>1256</v>
      </c>
      <c r="G171" s="21"/>
      <c r="H171" s="130"/>
    </row>
    <row r="172" spans="1:8" ht="12.95" customHeight="1" x14ac:dyDescent="0.2">
      <c r="A172" s="16" t="s">
        <v>192</v>
      </c>
      <c r="B172" s="43" t="s">
        <v>909</v>
      </c>
      <c r="C172" s="17" t="s">
        <v>1251</v>
      </c>
      <c r="D172" s="19">
        <v>-2350</v>
      </c>
      <c r="E172" s="19">
        <v>-5.28</v>
      </c>
      <c r="F172" s="20" t="s">
        <v>1256</v>
      </c>
      <c r="G172" s="21"/>
      <c r="H172" s="130"/>
    </row>
    <row r="173" spans="1:8" ht="12.95" customHeight="1" x14ac:dyDescent="0.2">
      <c r="A173" s="130"/>
      <c r="B173" s="131" t="s">
        <v>128</v>
      </c>
      <c r="C173" s="132"/>
      <c r="D173" s="132"/>
      <c r="E173" s="133">
        <v>-32791.17</v>
      </c>
      <c r="F173" s="134">
        <v>-0.1232</v>
      </c>
      <c r="G173" s="135"/>
      <c r="H173" s="130"/>
    </row>
    <row r="174" spans="1:8" ht="12.95" customHeight="1" x14ac:dyDescent="0.2">
      <c r="A174" s="130"/>
      <c r="B174" s="131" t="s">
        <v>165</v>
      </c>
      <c r="C174" s="132"/>
      <c r="D174" s="136"/>
      <c r="E174" s="133">
        <v>-32791.17</v>
      </c>
      <c r="F174" s="134">
        <v>-0.1232</v>
      </c>
      <c r="G174" s="135"/>
      <c r="H174" s="130"/>
    </row>
    <row r="176" spans="1:8" x14ac:dyDescent="0.2">
      <c r="B176" s="47" t="s">
        <v>1252</v>
      </c>
    </row>
    <row r="177" spans="2:8" x14ac:dyDescent="0.2">
      <c r="B177" s="47" t="s">
        <v>1253</v>
      </c>
    </row>
    <row r="178" spans="2:8" x14ac:dyDescent="0.2">
      <c r="B178" s="47" t="s">
        <v>1254</v>
      </c>
    </row>
    <row r="179" spans="2:8" x14ac:dyDescent="0.2">
      <c r="B179" s="47" t="s">
        <v>1255</v>
      </c>
    </row>
    <row r="181" spans="2:8" x14ac:dyDescent="0.2">
      <c r="B181" s="137" t="s">
        <v>1420</v>
      </c>
      <c r="C181" s="138"/>
      <c r="D181" s="139"/>
      <c r="E181" s="60"/>
      <c r="F181" s="191"/>
      <c r="G181" s="191"/>
      <c r="H181" s="251"/>
    </row>
    <row r="182" spans="2:8" x14ac:dyDescent="0.2">
      <c r="B182" s="141" t="s">
        <v>1611</v>
      </c>
      <c r="C182" s="75"/>
      <c r="D182" s="69"/>
      <c r="E182" s="69"/>
      <c r="F182" s="75"/>
      <c r="G182" s="65"/>
      <c r="H182" s="105"/>
    </row>
    <row r="183" spans="2:8" ht="36" x14ac:dyDescent="0.2">
      <c r="B183" s="143" t="s">
        <v>1422</v>
      </c>
      <c r="C183" s="144" t="s">
        <v>1423</v>
      </c>
      <c r="D183" s="145" t="s">
        <v>1424</v>
      </c>
      <c r="E183" s="145" t="s">
        <v>1424</v>
      </c>
      <c r="F183" s="145" t="s">
        <v>1425</v>
      </c>
      <c r="G183" s="65"/>
      <c r="H183" s="105"/>
    </row>
    <row r="184" spans="2:8" x14ac:dyDescent="0.2">
      <c r="B184" s="143"/>
      <c r="C184" s="144"/>
      <c r="D184" s="145" t="s">
        <v>1426</v>
      </c>
      <c r="E184" s="145" t="s">
        <v>1427</v>
      </c>
      <c r="F184" s="145" t="s">
        <v>1426</v>
      </c>
      <c r="G184" s="65"/>
      <c r="H184" s="105"/>
    </row>
    <row r="185" spans="2:8" x14ac:dyDescent="0.2">
      <c r="B185" s="143" t="s">
        <v>164</v>
      </c>
      <c r="C185" s="144" t="s">
        <v>164</v>
      </c>
      <c r="D185" s="144" t="s">
        <v>164</v>
      </c>
      <c r="E185" s="144" t="s">
        <v>164</v>
      </c>
      <c r="F185" s="144" t="s">
        <v>164</v>
      </c>
      <c r="G185" s="65"/>
      <c r="H185" s="105"/>
    </row>
    <row r="186" spans="2:8" x14ac:dyDescent="0.2">
      <c r="B186" s="149"/>
      <c r="C186" s="75"/>
      <c r="D186" s="75"/>
      <c r="E186" s="75"/>
      <c r="F186" s="75"/>
      <c r="G186" s="65"/>
      <c r="H186" s="105"/>
    </row>
    <row r="187" spans="2:8" x14ac:dyDescent="0.2">
      <c r="B187" s="149" t="s">
        <v>1612</v>
      </c>
      <c r="C187" s="75"/>
      <c r="D187" s="73"/>
      <c r="E187" s="75"/>
      <c r="F187" s="75"/>
      <c r="G187" s="65"/>
      <c r="H187" s="105"/>
    </row>
    <row r="188" spans="2:8" x14ac:dyDescent="0.2">
      <c r="B188" s="197" t="s">
        <v>1494</v>
      </c>
      <c r="C188" s="252">
        <v>46080</v>
      </c>
      <c r="D188" s="252">
        <v>46112</v>
      </c>
      <c r="E188" s="75"/>
      <c r="F188" s="75"/>
      <c r="G188" s="65"/>
      <c r="H188" s="105"/>
    </row>
    <row r="189" spans="2:8" x14ac:dyDescent="0.2">
      <c r="B189" s="197" t="s">
        <v>1495</v>
      </c>
      <c r="C189" s="76"/>
      <c r="D189" s="76"/>
      <c r="E189" s="75"/>
      <c r="F189" s="75"/>
      <c r="G189" s="65"/>
      <c r="H189" s="105"/>
    </row>
    <row r="190" spans="2:8" x14ac:dyDescent="0.2">
      <c r="B190" s="150" t="s">
        <v>1613</v>
      </c>
      <c r="C190" s="76">
        <v>11.728300000000001</v>
      </c>
      <c r="D190" s="76">
        <v>11.453200000000001</v>
      </c>
      <c r="E190" s="253"/>
      <c r="F190" s="198"/>
      <c r="G190" s="254"/>
      <c r="H190" s="105"/>
    </row>
    <row r="191" spans="2:8" x14ac:dyDescent="0.2">
      <c r="B191" s="150" t="s">
        <v>1614</v>
      </c>
      <c r="C191" s="76">
        <v>10.488200000000001</v>
      </c>
      <c r="D191" s="76">
        <v>10.242100000000001</v>
      </c>
      <c r="E191" s="255"/>
      <c r="F191" s="199"/>
      <c r="G191" s="256"/>
      <c r="H191" s="105"/>
    </row>
    <row r="192" spans="2:8" x14ac:dyDescent="0.2">
      <c r="B192" s="197" t="s">
        <v>1500</v>
      </c>
      <c r="C192" s="76"/>
      <c r="D192" s="76"/>
      <c r="E192" s="253"/>
      <c r="F192" s="198"/>
      <c r="G192" s="254"/>
      <c r="H192" s="105"/>
    </row>
    <row r="193" spans="2:8" x14ac:dyDescent="0.2">
      <c r="B193" s="150" t="s">
        <v>1615</v>
      </c>
      <c r="C193" s="76">
        <v>11.657400000000001</v>
      </c>
      <c r="D193" s="76">
        <v>11.3809</v>
      </c>
      <c r="E193" s="255"/>
      <c r="F193" s="199"/>
      <c r="G193" s="256"/>
      <c r="H193" s="105"/>
    </row>
    <row r="194" spans="2:8" x14ac:dyDescent="0.2">
      <c r="B194" s="150" t="s">
        <v>1616</v>
      </c>
      <c r="C194" s="76">
        <v>10.241400000000001</v>
      </c>
      <c r="D194" s="76">
        <v>9.9984000000000002</v>
      </c>
      <c r="E194" s="75"/>
      <c r="F194" s="77"/>
      <c r="G194" s="77"/>
      <c r="H194" s="105"/>
    </row>
    <row r="195" spans="2:8" x14ac:dyDescent="0.2">
      <c r="B195" s="141"/>
      <c r="C195" s="75"/>
      <c r="D195" s="75"/>
      <c r="E195" s="75"/>
      <c r="F195" s="75"/>
      <c r="G195" s="65"/>
      <c r="H195" s="105"/>
    </row>
    <row r="196" spans="2:8" x14ac:dyDescent="0.2">
      <c r="B196" s="149" t="s">
        <v>1693</v>
      </c>
      <c r="C196" s="154"/>
      <c r="D196" s="154"/>
      <c r="E196" s="154"/>
      <c r="F196" s="75"/>
      <c r="G196" s="65"/>
      <c r="H196" s="105"/>
    </row>
    <row r="197" spans="2:8" x14ac:dyDescent="0.2">
      <c r="B197" s="149"/>
      <c r="C197" s="154"/>
      <c r="D197" s="154"/>
      <c r="E197" s="154"/>
      <c r="F197" s="75"/>
      <c r="G197" s="65"/>
      <c r="H197" s="105"/>
    </row>
    <row r="198" spans="2:8" x14ac:dyDescent="0.2">
      <c r="B198" s="149" t="s">
        <v>1694</v>
      </c>
      <c r="C198" s="154"/>
      <c r="D198" s="258"/>
      <c r="E198" s="154"/>
      <c r="F198" s="75"/>
      <c r="G198" s="65"/>
      <c r="H198" s="105"/>
    </row>
    <row r="199" spans="2:8" x14ac:dyDescent="0.2">
      <c r="B199" s="149"/>
      <c r="C199" s="154"/>
      <c r="D199" s="258"/>
      <c r="E199" s="154"/>
      <c r="F199" s="75"/>
      <c r="G199" s="65"/>
      <c r="H199" s="105"/>
    </row>
    <row r="200" spans="2:8" x14ac:dyDescent="0.2">
      <c r="B200" s="149" t="s">
        <v>1710</v>
      </c>
      <c r="C200" s="259"/>
      <c r="D200" s="258"/>
      <c r="E200" s="206"/>
      <c r="F200" s="75"/>
      <c r="G200" s="65"/>
      <c r="H200" s="105"/>
    </row>
    <row r="201" spans="2:8" x14ac:dyDescent="0.2">
      <c r="B201" s="82" t="s">
        <v>1435</v>
      </c>
      <c r="C201" s="154"/>
      <c r="D201" s="258"/>
      <c r="E201" s="154"/>
      <c r="F201" s="75"/>
      <c r="G201" s="65"/>
      <c r="H201" s="105"/>
    </row>
    <row r="202" spans="2:8" x14ac:dyDescent="0.2">
      <c r="B202" s="82"/>
      <c r="C202" s="154"/>
      <c r="D202" s="258"/>
      <c r="E202" s="258"/>
      <c r="F202" s="75"/>
      <c r="G202" s="65"/>
      <c r="H202" s="105"/>
    </row>
    <row r="203" spans="2:8" x14ac:dyDescent="0.2">
      <c r="B203" s="72" t="s">
        <v>1695</v>
      </c>
      <c r="C203" s="154"/>
      <c r="D203" s="258"/>
      <c r="E203" s="258"/>
      <c r="F203" s="75"/>
      <c r="G203" s="65"/>
      <c r="H203" s="105"/>
    </row>
    <row r="204" spans="2:8" x14ac:dyDescent="0.2">
      <c r="B204" s="149"/>
      <c r="C204" s="154"/>
      <c r="D204" s="258"/>
      <c r="E204" s="258"/>
      <c r="F204" s="75"/>
      <c r="G204" s="65"/>
      <c r="H204" s="105"/>
    </row>
    <row r="205" spans="2:8" x14ac:dyDescent="0.2">
      <c r="B205" s="149" t="s">
        <v>1661</v>
      </c>
      <c r="C205" s="154"/>
      <c r="D205" s="258"/>
      <c r="E205" s="258"/>
      <c r="F205" s="75"/>
      <c r="G205" s="65"/>
      <c r="H205" s="105"/>
    </row>
    <row r="206" spans="2:8" x14ac:dyDescent="0.2">
      <c r="B206" s="146"/>
      <c r="C206" s="154"/>
      <c r="D206" s="154"/>
      <c r="E206" s="258"/>
      <c r="F206" s="75"/>
      <c r="G206" s="65"/>
      <c r="H206" s="105"/>
    </row>
    <row r="207" spans="2:8" x14ac:dyDescent="0.2">
      <c r="B207" s="149" t="s">
        <v>1707</v>
      </c>
      <c r="C207" s="154"/>
      <c r="D207" s="154"/>
      <c r="E207" s="154"/>
      <c r="F207" s="75"/>
      <c r="G207" s="65"/>
      <c r="H207" s="105"/>
    </row>
    <row r="208" spans="2:8" x14ac:dyDescent="0.2">
      <c r="B208" s="149"/>
      <c r="C208" s="154"/>
      <c r="D208" s="154"/>
      <c r="E208" s="154"/>
      <c r="F208" s="75"/>
      <c r="G208" s="65"/>
      <c r="H208" s="105"/>
    </row>
    <row r="209" spans="2:8" x14ac:dyDescent="0.2">
      <c r="B209" s="149" t="s">
        <v>1662</v>
      </c>
      <c r="C209" s="154"/>
      <c r="D209" s="154"/>
      <c r="E209" s="154"/>
      <c r="F209" s="75"/>
      <c r="G209" s="65"/>
      <c r="H209" s="105"/>
    </row>
    <row r="210" spans="2:8" x14ac:dyDescent="0.2">
      <c r="B210" s="149"/>
      <c r="C210" s="154"/>
      <c r="D210" s="154"/>
      <c r="E210" s="154"/>
      <c r="F210" s="75"/>
      <c r="G210" s="65"/>
      <c r="H210" s="105"/>
    </row>
    <row r="211" spans="2:8" x14ac:dyDescent="0.2">
      <c r="B211" s="149" t="s">
        <v>1521</v>
      </c>
      <c r="C211" s="154"/>
      <c r="D211" s="154"/>
      <c r="E211" s="154"/>
      <c r="F211" s="75"/>
      <c r="G211" s="258"/>
      <c r="H211" s="105"/>
    </row>
    <row r="212" spans="2:8" x14ac:dyDescent="0.2">
      <c r="B212" s="171" t="s">
        <v>1522</v>
      </c>
      <c r="C212" s="90">
        <f>G131*100</f>
        <v>0.18</v>
      </c>
      <c r="D212" s="154"/>
      <c r="E212" s="154"/>
      <c r="G212" s="258"/>
      <c r="H212" s="105"/>
    </row>
    <row r="213" spans="2:8" x14ac:dyDescent="0.2">
      <c r="B213" s="171" t="s">
        <v>1523</v>
      </c>
      <c r="C213" s="90">
        <f>+SUMIF(D54:D124,"Sovereign",G54:G124)*100</f>
        <v>45.800000000000004</v>
      </c>
      <c r="D213" s="154"/>
      <c r="E213" s="154"/>
      <c r="G213" s="258"/>
      <c r="H213" s="105"/>
    </row>
    <row r="214" spans="2:8" x14ac:dyDescent="0.2">
      <c r="B214" s="171" t="s">
        <v>1524</v>
      </c>
      <c r="C214" s="90">
        <v>0</v>
      </c>
      <c r="D214" s="154"/>
      <c r="E214" s="154"/>
      <c r="G214" s="258"/>
      <c r="H214" s="105"/>
    </row>
    <row r="215" spans="2:8" x14ac:dyDescent="0.2">
      <c r="B215" s="171" t="s">
        <v>1574</v>
      </c>
      <c r="C215" s="90">
        <f>+(G51)*100</f>
        <v>36.29</v>
      </c>
      <c r="D215" s="154"/>
      <c r="E215" s="154"/>
      <c r="G215" s="260"/>
      <c r="H215" s="105"/>
    </row>
    <row r="216" spans="2:8" x14ac:dyDescent="0.2">
      <c r="B216" s="171" t="s">
        <v>1525</v>
      </c>
      <c r="C216" s="261">
        <f>(G125*100)-C213</f>
        <v>8.9499999999999957</v>
      </c>
      <c r="D216" s="154"/>
      <c r="E216" s="154"/>
      <c r="G216" s="262"/>
      <c r="H216" s="105"/>
    </row>
    <row r="217" spans="2:8" x14ac:dyDescent="0.2">
      <c r="B217" s="171" t="s">
        <v>1531</v>
      </c>
      <c r="C217" s="209">
        <f>100-SUM(C212:C216)</f>
        <v>8.7800000000000011</v>
      </c>
      <c r="D217" s="154"/>
      <c r="E217" s="154"/>
      <c r="G217" s="262"/>
      <c r="H217" s="105"/>
    </row>
    <row r="218" spans="2:8" x14ac:dyDescent="0.2">
      <c r="B218" s="149"/>
      <c r="C218" s="208"/>
      <c r="D218" s="154"/>
      <c r="E218" s="154"/>
      <c r="F218" s="208"/>
      <c r="G218" s="65"/>
      <c r="H218" s="105"/>
    </row>
    <row r="219" spans="2:8" x14ac:dyDescent="0.2">
      <c r="B219" s="149"/>
      <c r="C219" s="75"/>
      <c r="D219" s="154"/>
      <c r="E219" s="154"/>
      <c r="F219" s="75"/>
      <c r="G219" s="65"/>
      <c r="H219" s="105"/>
    </row>
    <row r="220" spans="2:8" x14ac:dyDescent="0.2">
      <c r="B220" s="149" t="s">
        <v>1527</v>
      </c>
      <c r="C220" s="75"/>
      <c r="D220" s="154"/>
      <c r="E220" s="154"/>
      <c r="F220" s="75"/>
      <c r="G220" s="65"/>
      <c r="H220" s="105"/>
    </row>
    <row r="221" spans="2:8" x14ac:dyDescent="0.2">
      <c r="B221" s="171" t="s">
        <v>1528</v>
      </c>
      <c r="C221" s="210">
        <f>C212+C213</f>
        <v>45.980000000000004</v>
      </c>
      <c r="D221" s="176"/>
      <c r="E221" s="176"/>
      <c r="G221" s="263"/>
      <c r="H221" s="105"/>
    </row>
    <row r="222" spans="2:8" x14ac:dyDescent="0.2">
      <c r="B222" s="171" t="s">
        <v>1529</v>
      </c>
      <c r="C222" s="90">
        <f>C216</f>
        <v>8.9499999999999957</v>
      </c>
      <c r="D222" s="176"/>
      <c r="E222" s="176"/>
      <c r="G222" s="263"/>
      <c r="H222" s="105"/>
    </row>
    <row r="223" spans="2:8" x14ac:dyDescent="0.2">
      <c r="B223" s="171" t="s">
        <v>1575</v>
      </c>
      <c r="C223" s="90">
        <f>C215</f>
        <v>36.29</v>
      </c>
      <c r="D223" s="176"/>
      <c r="E223" s="176"/>
      <c r="G223" s="264"/>
      <c r="H223" s="105"/>
    </row>
    <row r="224" spans="2:8" x14ac:dyDescent="0.2">
      <c r="B224" s="171" t="s">
        <v>1530</v>
      </c>
      <c r="C224" s="90">
        <v>0</v>
      </c>
      <c r="D224" s="176"/>
      <c r="E224" s="176"/>
      <c r="G224" s="264"/>
      <c r="H224" s="105"/>
    </row>
    <row r="225" spans="2:8" x14ac:dyDescent="0.2">
      <c r="B225" s="171" t="s">
        <v>1531</v>
      </c>
      <c r="C225" s="211">
        <f>+C217</f>
        <v>8.7800000000000011</v>
      </c>
      <c r="D225" s="176"/>
      <c r="E225" s="176"/>
      <c r="G225" s="263"/>
      <c r="H225" s="265"/>
    </row>
    <row r="226" spans="2:8" x14ac:dyDescent="0.2">
      <c r="B226" s="149"/>
      <c r="C226" s="176"/>
      <c r="D226" s="176"/>
      <c r="E226" s="176"/>
      <c r="F226" s="212"/>
      <c r="G226" s="65"/>
      <c r="H226" s="105"/>
    </row>
    <row r="227" spans="2:8" x14ac:dyDescent="0.2">
      <c r="B227" s="149" t="s">
        <v>1532</v>
      </c>
      <c r="C227" s="176"/>
      <c r="D227" s="176"/>
      <c r="E227" s="176"/>
      <c r="F227" s="185"/>
      <c r="G227" s="65"/>
      <c r="H227" s="105"/>
    </row>
    <row r="228" spans="2:8" x14ac:dyDescent="0.2">
      <c r="B228" s="266"/>
      <c r="C228" s="176"/>
      <c r="D228" s="176"/>
      <c r="E228" s="267"/>
      <c r="F228" s="268"/>
      <c r="G228" s="267"/>
      <c r="H228" s="105"/>
    </row>
    <row r="229" spans="2:8" x14ac:dyDescent="0.2">
      <c r="B229" s="149" t="s">
        <v>1576</v>
      </c>
      <c r="C229" s="176"/>
      <c r="D229" s="176"/>
      <c r="E229" s="176"/>
      <c r="F229" s="185"/>
      <c r="G229" s="65"/>
      <c r="H229" s="105"/>
    </row>
    <row r="230" spans="2:8" x14ac:dyDescent="0.2">
      <c r="B230" s="149"/>
      <c r="C230" s="176"/>
      <c r="D230" s="176"/>
      <c r="E230" s="176"/>
      <c r="F230" s="185"/>
      <c r="G230" s="65"/>
      <c r="H230" s="105"/>
    </row>
    <row r="231" spans="2:8" x14ac:dyDescent="0.2">
      <c r="B231" s="214" t="s">
        <v>1680</v>
      </c>
      <c r="C231" s="86"/>
      <c r="D231" s="86"/>
      <c r="E231" s="86"/>
      <c r="F231" s="87"/>
      <c r="G231" s="65"/>
      <c r="H231" s="105"/>
    </row>
    <row r="232" spans="2:8" ht="36" x14ac:dyDescent="0.2">
      <c r="B232" s="215" t="s">
        <v>1437</v>
      </c>
      <c r="C232" s="215" t="s">
        <v>1438</v>
      </c>
      <c r="D232" s="215" t="s">
        <v>1439</v>
      </c>
      <c r="E232" s="215" t="s">
        <v>1440</v>
      </c>
      <c r="F232" s="215" t="s">
        <v>1441</v>
      </c>
      <c r="G232" s="215" t="s">
        <v>1442</v>
      </c>
      <c r="H232" s="105"/>
    </row>
    <row r="233" spans="2:8" x14ac:dyDescent="0.2">
      <c r="B233" s="217" t="s">
        <v>730</v>
      </c>
      <c r="C233" s="89" t="s">
        <v>1444</v>
      </c>
      <c r="D233" s="217" t="s">
        <v>1443</v>
      </c>
      <c r="E233" s="90">
        <v>304.23042608695653</v>
      </c>
      <c r="F233" s="90">
        <v>292.5</v>
      </c>
      <c r="G233" s="498">
        <v>7137.5267075000002</v>
      </c>
      <c r="H233" s="105"/>
    </row>
    <row r="234" spans="2:8" x14ac:dyDescent="0.2">
      <c r="B234" s="217" t="s">
        <v>694</v>
      </c>
      <c r="C234" s="89" t="s">
        <v>1444</v>
      </c>
      <c r="D234" s="217" t="s">
        <v>1443</v>
      </c>
      <c r="E234" s="90">
        <v>150.0025</v>
      </c>
      <c r="F234" s="90">
        <v>142.1</v>
      </c>
      <c r="G234" s="499"/>
      <c r="H234" s="105"/>
    </row>
    <row r="235" spans="2:8" x14ac:dyDescent="0.2">
      <c r="B235" s="217" t="s">
        <v>746</v>
      </c>
      <c r="C235" s="89" t="s">
        <v>1444</v>
      </c>
      <c r="D235" s="217" t="s">
        <v>1443</v>
      </c>
      <c r="E235" s="90">
        <v>1699.9688311688312</v>
      </c>
      <c r="F235" s="90">
        <v>1637.1</v>
      </c>
      <c r="G235" s="499"/>
      <c r="H235" s="105"/>
    </row>
    <row r="236" spans="2:8" x14ac:dyDescent="0.2">
      <c r="B236" s="217" t="s">
        <v>655</v>
      </c>
      <c r="C236" s="89" t="s">
        <v>1444</v>
      </c>
      <c r="D236" s="217" t="s">
        <v>1443</v>
      </c>
      <c r="E236" s="90">
        <v>251.864</v>
      </c>
      <c r="F236" s="90">
        <v>246.25</v>
      </c>
      <c r="G236" s="499"/>
      <c r="H236" s="105"/>
    </row>
    <row r="237" spans="2:8" x14ac:dyDescent="0.2">
      <c r="B237" s="217" t="s">
        <v>50</v>
      </c>
      <c r="C237" s="89" t="s">
        <v>1444</v>
      </c>
      <c r="D237" s="217" t="s">
        <v>1443</v>
      </c>
      <c r="E237" s="90">
        <v>1821.0820996438465</v>
      </c>
      <c r="F237" s="90">
        <v>1790.5</v>
      </c>
      <c r="G237" s="499"/>
      <c r="H237" s="105"/>
    </row>
    <row r="238" spans="2:8" x14ac:dyDescent="0.2">
      <c r="B238" s="217" t="s">
        <v>67</v>
      </c>
      <c r="C238" s="89" t="s">
        <v>1444</v>
      </c>
      <c r="D238" s="217" t="s">
        <v>1443</v>
      </c>
      <c r="E238" s="90">
        <v>908.3</v>
      </c>
      <c r="F238" s="90">
        <v>875.75</v>
      </c>
      <c r="G238" s="499"/>
      <c r="H238" s="105"/>
    </row>
    <row r="239" spans="2:8" x14ac:dyDescent="0.2">
      <c r="B239" s="217" t="s">
        <v>691</v>
      </c>
      <c r="C239" s="89" t="s">
        <v>1444</v>
      </c>
      <c r="D239" s="217" t="s">
        <v>1443</v>
      </c>
      <c r="E239" s="90">
        <v>509.17210004391745</v>
      </c>
      <c r="F239" s="90">
        <v>505.6</v>
      </c>
      <c r="G239" s="499"/>
      <c r="H239" s="105"/>
    </row>
    <row r="240" spans="2:8" x14ac:dyDescent="0.2">
      <c r="B240" s="217" t="s">
        <v>780</v>
      </c>
      <c r="C240" s="89" t="s">
        <v>1444</v>
      </c>
      <c r="D240" s="217" t="s">
        <v>1443</v>
      </c>
      <c r="E240" s="90">
        <v>138.4</v>
      </c>
      <c r="F240" s="90">
        <v>138.16999999999999</v>
      </c>
      <c r="G240" s="499"/>
      <c r="H240" s="105"/>
    </row>
    <row r="241" spans="2:8" x14ac:dyDescent="0.2">
      <c r="B241" s="217" t="s">
        <v>1165</v>
      </c>
      <c r="C241" s="89" t="s">
        <v>1444</v>
      </c>
      <c r="D241" s="217" t="s">
        <v>1443</v>
      </c>
      <c r="E241" s="90">
        <v>415.2441846153846</v>
      </c>
      <c r="F241" s="90">
        <v>402.5</v>
      </c>
      <c r="G241" s="499"/>
      <c r="H241" s="105"/>
    </row>
    <row r="242" spans="2:8" x14ac:dyDescent="0.2">
      <c r="B242" s="217" t="s">
        <v>13</v>
      </c>
      <c r="C242" s="89" t="s">
        <v>1444</v>
      </c>
      <c r="D242" s="217" t="s">
        <v>1443</v>
      </c>
      <c r="E242" s="90">
        <v>744.21357814247256</v>
      </c>
      <c r="F242" s="90">
        <v>735.9</v>
      </c>
      <c r="G242" s="499"/>
      <c r="H242" s="105"/>
    </row>
    <row r="243" spans="2:8" x14ac:dyDescent="0.2">
      <c r="B243" s="217" t="s">
        <v>142</v>
      </c>
      <c r="C243" s="89" t="s">
        <v>1444</v>
      </c>
      <c r="D243" s="217" t="s">
        <v>1443</v>
      </c>
      <c r="E243" s="90">
        <v>870.77300000000002</v>
      </c>
      <c r="F243" s="90">
        <v>887.9</v>
      </c>
      <c r="G243" s="499"/>
      <c r="H243" s="105"/>
    </row>
    <row r="244" spans="2:8" x14ac:dyDescent="0.2">
      <c r="B244" s="217" t="s">
        <v>733</v>
      </c>
      <c r="C244" s="89" t="s">
        <v>1444</v>
      </c>
      <c r="D244" s="217" t="s">
        <v>1443</v>
      </c>
      <c r="E244" s="90">
        <v>1148.4266768303187</v>
      </c>
      <c r="F244" s="90">
        <v>1125.2</v>
      </c>
      <c r="G244" s="499"/>
      <c r="H244" s="105"/>
    </row>
    <row r="245" spans="2:8" x14ac:dyDescent="0.2">
      <c r="B245" s="217" t="s">
        <v>36</v>
      </c>
      <c r="C245" s="89" t="s">
        <v>1444</v>
      </c>
      <c r="D245" s="217" t="s">
        <v>1443</v>
      </c>
      <c r="E245" s="90">
        <v>364.50124073319756</v>
      </c>
      <c r="F245" s="90">
        <v>354.55</v>
      </c>
      <c r="G245" s="499"/>
      <c r="H245" s="105"/>
    </row>
    <row r="246" spans="2:8" x14ac:dyDescent="0.2">
      <c r="B246" s="217" t="s">
        <v>39</v>
      </c>
      <c r="C246" s="89" t="s">
        <v>1444</v>
      </c>
      <c r="D246" s="217" t="s">
        <v>1443</v>
      </c>
      <c r="E246" s="90">
        <v>3046.4856086330933</v>
      </c>
      <c r="F246" s="90">
        <v>2968.7</v>
      </c>
      <c r="G246" s="499"/>
      <c r="H246" s="105"/>
    </row>
    <row r="247" spans="2:8" x14ac:dyDescent="0.2">
      <c r="B247" s="217" t="s">
        <v>1578</v>
      </c>
      <c r="C247" s="89" t="s">
        <v>1444</v>
      </c>
      <c r="D247" s="217" t="s">
        <v>1443</v>
      </c>
      <c r="E247" s="90">
        <v>1141.8184649252762</v>
      </c>
      <c r="F247" s="90">
        <v>1118.5</v>
      </c>
      <c r="G247" s="499"/>
      <c r="H247" s="105"/>
    </row>
    <row r="248" spans="2:8" x14ac:dyDescent="0.2">
      <c r="B248" s="217" t="s">
        <v>659</v>
      </c>
      <c r="C248" s="89" t="s">
        <v>1444</v>
      </c>
      <c r="D248" s="217" t="s">
        <v>1443</v>
      </c>
      <c r="E248" s="90">
        <v>77.958309859154923</v>
      </c>
      <c r="F248" s="90">
        <v>76.53</v>
      </c>
      <c r="G248" s="499"/>
      <c r="H248" s="105"/>
    </row>
    <row r="249" spans="2:8" x14ac:dyDescent="0.2">
      <c r="B249" s="217" t="s">
        <v>704</v>
      </c>
      <c r="C249" s="89" t="s">
        <v>1444</v>
      </c>
      <c r="D249" s="217" t="s">
        <v>1443</v>
      </c>
      <c r="E249" s="90">
        <v>227.8</v>
      </c>
      <c r="F249" s="90">
        <v>224.65</v>
      </c>
      <c r="G249" s="499"/>
      <c r="H249" s="105"/>
    </row>
    <row r="250" spans="2:8" x14ac:dyDescent="0.2">
      <c r="B250" s="217" t="s">
        <v>131</v>
      </c>
      <c r="C250" s="89" t="s">
        <v>1444</v>
      </c>
      <c r="D250" s="217" t="s">
        <v>1443</v>
      </c>
      <c r="E250" s="90">
        <v>1375.4992749140893</v>
      </c>
      <c r="F250" s="90">
        <v>1349.3</v>
      </c>
      <c r="G250" s="499"/>
      <c r="H250" s="105"/>
    </row>
    <row r="251" spans="2:8" x14ac:dyDescent="0.2">
      <c r="B251" s="217" t="s">
        <v>789</v>
      </c>
      <c r="C251" s="89" t="s">
        <v>1444</v>
      </c>
      <c r="D251" s="217" t="s">
        <v>1443</v>
      </c>
      <c r="E251" s="90">
        <v>1846.4190006349206</v>
      </c>
      <c r="F251" s="90">
        <v>1787</v>
      </c>
      <c r="G251" s="499"/>
      <c r="H251" s="105"/>
    </row>
    <row r="252" spans="2:8" x14ac:dyDescent="0.2">
      <c r="B252" s="217" t="s">
        <v>651</v>
      </c>
      <c r="C252" s="89" t="s">
        <v>1444</v>
      </c>
      <c r="D252" s="217" t="s">
        <v>1443</v>
      </c>
      <c r="E252" s="90">
        <v>194.38</v>
      </c>
      <c r="F252" s="90">
        <v>192.45</v>
      </c>
      <c r="G252" s="499"/>
      <c r="H252" s="105"/>
    </row>
    <row r="253" spans="2:8" x14ac:dyDescent="0.2">
      <c r="B253" s="217" t="s">
        <v>135</v>
      </c>
      <c r="C253" s="89" t="s">
        <v>1444</v>
      </c>
      <c r="D253" s="217" t="s">
        <v>1443</v>
      </c>
      <c r="E253" s="90">
        <v>4039.3991999999998</v>
      </c>
      <c r="F253" s="90">
        <v>3962.9</v>
      </c>
      <c r="G253" s="499"/>
      <c r="H253" s="105"/>
    </row>
    <row r="254" spans="2:8" x14ac:dyDescent="0.2">
      <c r="B254" s="217" t="s">
        <v>666</v>
      </c>
      <c r="C254" s="89" t="s">
        <v>1444</v>
      </c>
      <c r="D254" s="217" t="s">
        <v>1443</v>
      </c>
      <c r="E254" s="90">
        <v>11098.930534693878</v>
      </c>
      <c r="F254" s="90">
        <v>10772</v>
      </c>
      <c r="G254" s="499"/>
      <c r="H254" s="105"/>
    </row>
    <row r="255" spans="2:8" x14ac:dyDescent="0.2">
      <c r="B255" s="217" t="s">
        <v>47</v>
      </c>
      <c r="C255" s="89" t="s">
        <v>1444</v>
      </c>
      <c r="D255" s="217" t="s">
        <v>1443</v>
      </c>
      <c r="E255" s="90">
        <v>1176.3800000000001</v>
      </c>
      <c r="F255" s="90">
        <v>1167.5</v>
      </c>
      <c r="G255" s="499"/>
      <c r="H255" s="105"/>
    </row>
    <row r="256" spans="2:8" x14ac:dyDescent="0.2">
      <c r="B256" s="217" t="s">
        <v>700</v>
      </c>
      <c r="C256" s="89" t="s">
        <v>1444</v>
      </c>
      <c r="D256" s="217" t="s">
        <v>1443</v>
      </c>
      <c r="E256" s="90">
        <v>238.65204</v>
      </c>
      <c r="F256" s="90">
        <v>229.64</v>
      </c>
      <c r="G256" s="500"/>
      <c r="H256" s="105"/>
    </row>
    <row r="257" spans="2:8" x14ac:dyDescent="0.2">
      <c r="B257" s="217"/>
      <c r="C257" s="89"/>
      <c r="D257" s="217"/>
      <c r="E257" s="90"/>
      <c r="F257" s="90"/>
      <c r="G257" s="281"/>
      <c r="H257" s="105"/>
    </row>
    <row r="258" spans="2:8" x14ac:dyDescent="0.2">
      <c r="B258" s="82" t="s">
        <v>1696</v>
      </c>
      <c r="C258" s="75"/>
      <c r="D258" s="75"/>
      <c r="E258" s="97"/>
      <c r="F258" s="97"/>
      <c r="G258" s="94"/>
      <c r="H258" s="105"/>
    </row>
    <row r="259" spans="2:8" x14ac:dyDescent="0.2">
      <c r="B259" s="82"/>
      <c r="C259" s="75"/>
      <c r="D259" s="75"/>
      <c r="E259" s="97"/>
      <c r="F259" s="97"/>
      <c r="G259" s="94"/>
      <c r="H259" s="105"/>
    </row>
    <row r="260" spans="2:8" x14ac:dyDescent="0.2">
      <c r="B260" s="269" t="s">
        <v>1640</v>
      </c>
      <c r="C260" s="270"/>
      <c r="D260" s="271"/>
      <c r="E260" s="257"/>
      <c r="F260" s="257"/>
      <c r="G260" s="257"/>
      <c r="H260" s="219"/>
    </row>
    <row r="261" spans="2:8" x14ac:dyDescent="0.2">
      <c r="B261" s="272" t="s">
        <v>1445</v>
      </c>
      <c r="C261" s="272"/>
      <c r="D261" s="257"/>
      <c r="E261" s="257"/>
      <c r="F261" s="257"/>
      <c r="G261" s="257"/>
      <c r="H261" s="219"/>
    </row>
    <row r="262" spans="2:8" x14ac:dyDescent="0.2">
      <c r="B262" s="272" t="s">
        <v>1446</v>
      </c>
      <c r="C262" s="93">
        <v>9051</v>
      </c>
      <c r="D262" s="257"/>
      <c r="F262" s="64"/>
      <c r="G262" s="64"/>
      <c r="H262" s="219"/>
    </row>
    <row r="263" spans="2:8" x14ac:dyDescent="0.2">
      <c r="B263" s="272" t="s">
        <v>1447</v>
      </c>
      <c r="C263" s="93">
        <v>9051</v>
      </c>
      <c r="D263" s="257"/>
      <c r="F263" s="94"/>
      <c r="G263" s="94"/>
      <c r="H263" s="219"/>
    </row>
    <row r="264" spans="2:8" x14ac:dyDescent="0.2">
      <c r="B264" s="272" t="s">
        <v>1448</v>
      </c>
      <c r="C264" s="93">
        <v>0</v>
      </c>
      <c r="D264" s="257"/>
      <c r="F264" s="94"/>
      <c r="G264" s="94"/>
      <c r="H264" s="219"/>
    </row>
    <row r="265" spans="2:8" x14ac:dyDescent="0.2">
      <c r="B265" s="272" t="s">
        <v>1449</v>
      </c>
      <c r="C265" s="93">
        <v>0</v>
      </c>
      <c r="D265" s="257"/>
      <c r="F265" s="94"/>
      <c r="G265" s="94"/>
      <c r="H265" s="219"/>
    </row>
    <row r="266" spans="2:8" x14ac:dyDescent="0.2">
      <c r="B266" s="272" t="s">
        <v>1450</v>
      </c>
      <c r="C266" s="93">
        <v>3611217089.4999995</v>
      </c>
      <c r="D266" s="257"/>
      <c r="F266" s="94"/>
      <c r="G266" s="94"/>
      <c r="H266" s="219"/>
    </row>
    <row r="267" spans="2:8" x14ac:dyDescent="0.2">
      <c r="B267" s="272" t="s">
        <v>1451</v>
      </c>
      <c r="C267" s="93">
        <v>4080702084.25</v>
      </c>
      <c r="D267" s="257"/>
      <c r="F267" s="94"/>
      <c r="G267" s="94"/>
      <c r="H267" s="219"/>
    </row>
    <row r="268" spans="2:8" x14ac:dyDescent="0.2">
      <c r="B268" s="272" t="s">
        <v>1452</v>
      </c>
      <c r="C268" s="93">
        <v>0</v>
      </c>
      <c r="D268" s="257"/>
      <c r="F268" s="94"/>
      <c r="G268" s="94"/>
      <c r="H268" s="219"/>
    </row>
    <row r="269" spans="2:8" x14ac:dyDescent="0.2">
      <c r="B269" s="272" t="s">
        <v>1453</v>
      </c>
      <c r="C269" s="93">
        <v>469484994.75019503</v>
      </c>
      <c r="D269" s="257"/>
      <c r="F269" s="94"/>
      <c r="G269" s="95"/>
      <c r="H269" s="219"/>
    </row>
    <row r="270" spans="2:8" x14ac:dyDescent="0.2">
      <c r="B270" s="273"/>
      <c r="C270" s="257"/>
      <c r="D270" s="257"/>
      <c r="E270" s="94"/>
      <c r="F270" s="94"/>
      <c r="G270" s="96"/>
      <c r="H270" s="219"/>
    </row>
    <row r="271" spans="2:8" x14ac:dyDescent="0.2">
      <c r="B271" s="98" t="s">
        <v>1454</v>
      </c>
      <c r="C271" s="99"/>
      <c r="D271" s="99"/>
      <c r="E271" s="97"/>
      <c r="F271" s="94"/>
      <c r="G271" s="94"/>
      <c r="H271" s="219"/>
    </row>
    <row r="272" spans="2:8" x14ac:dyDescent="0.2">
      <c r="B272" s="82"/>
      <c r="C272" s="75"/>
      <c r="D272" s="75"/>
      <c r="E272" s="97"/>
      <c r="F272" s="97"/>
      <c r="G272" s="94"/>
      <c r="H272" s="105"/>
    </row>
    <row r="273" spans="2:10" x14ac:dyDescent="0.2">
      <c r="B273" s="220" t="s">
        <v>1697</v>
      </c>
      <c r="C273" s="221"/>
      <c r="D273" s="221"/>
      <c r="E273" s="75"/>
      <c r="F273" s="75"/>
      <c r="G273" s="75"/>
      <c r="H273" s="105"/>
    </row>
    <row r="274" spans="2:10" x14ac:dyDescent="0.2">
      <c r="B274" s="141"/>
      <c r="C274" s="75"/>
      <c r="D274" s="75"/>
      <c r="E274" s="75"/>
      <c r="F274" s="225"/>
      <c r="G274" s="225"/>
      <c r="H274" s="105"/>
    </row>
    <row r="275" spans="2:10" x14ac:dyDescent="0.2">
      <c r="B275" s="220" t="s">
        <v>1642</v>
      </c>
      <c r="C275" s="221"/>
      <c r="D275" s="221"/>
      <c r="E275" s="75"/>
      <c r="F275" s="224"/>
      <c r="G275" s="225"/>
      <c r="H275" s="105"/>
    </row>
    <row r="276" spans="2:10" x14ac:dyDescent="0.2">
      <c r="B276" s="98"/>
      <c r="C276" s="99"/>
      <c r="D276" s="99"/>
      <c r="E276" s="75"/>
      <c r="F276" s="75"/>
      <c r="G276" s="75"/>
      <c r="H276" s="105"/>
    </row>
    <row r="277" spans="2:10" x14ac:dyDescent="0.2">
      <c r="B277" s="220" t="s">
        <v>1692</v>
      </c>
      <c r="C277" s="221"/>
      <c r="D277" s="221"/>
      <c r="E277" s="75"/>
      <c r="F277" s="224"/>
      <c r="G277" s="75"/>
      <c r="H277" s="105"/>
    </row>
    <row r="278" spans="2:10" x14ac:dyDescent="0.2">
      <c r="B278" s="226"/>
      <c r="C278" s="227"/>
      <c r="D278" s="227"/>
      <c r="E278" s="227"/>
      <c r="F278" s="227"/>
      <c r="G278" s="75"/>
      <c r="H278" s="105"/>
    </row>
    <row r="279" spans="2:10" x14ac:dyDescent="0.2">
      <c r="B279" s="220" t="s">
        <v>1698</v>
      </c>
      <c r="C279" s="221"/>
      <c r="D279" s="221"/>
      <c r="E279" s="75"/>
      <c r="F279" s="75"/>
      <c r="G279" s="75"/>
      <c r="H279" s="105"/>
    </row>
    <row r="280" spans="2:10" x14ac:dyDescent="0.2">
      <c r="B280" s="88" t="s">
        <v>1456</v>
      </c>
      <c r="C280" s="93">
        <v>620</v>
      </c>
      <c r="D280" s="64"/>
      <c r="F280" s="75"/>
      <c r="G280" s="75"/>
      <c r="H280" s="105"/>
    </row>
    <row r="281" spans="2:10" x14ac:dyDescent="0.2">
      <c r="B281" s="88" t="s">
        <v>1457</v>
      </c>
      <c r="C281" s="93">
        <v>385761500</v>
      </c>
      <c r="D281" s="64"/>
      <c r="F281" s="75"/>
      <c r="G281" s="75"/>
      <c r="H281" s="105"/>
    </row>
    <row r="282" spans="2:10" x14ac:dyDescent="0.2">
      <c r="B282" s="88" t="s">
        <v>1458</v>
      </c>
      <c r="C282" s="93">
        <v>1387261.68</v>
      </c>
      <c r="D282" s="64"/>
      <c r="F282" s="75"/>
      <c r="G282" s="75"/>
      <c r="H282" s="105"/>
    </row>
    <row r="283" spans="2:10" x14ac:dyDescent="0.2">
      <c r="B283" s="141"/>
      <c r="C283" s="75"/>
      <c r="D283" s="75"/>
      <c r="E283" s="75"/>
      <c r="F283" s="75"/>
      <c r="G283" s="75"/>
      <c r="H283" s="105"/>
    </row>
    <row r="284" spans="2:10" x14ac:dyDescent="0.2">
      <c r="B284" s="220" t="s">
        <v>1644</v>
      </c>
      <c r="C284" s="75"/>
      <c r="D284" s="75"/>
      <c r="E284" s="75"/>
      <c r="F284" s="75"/>
      <c r="G284" s="75"/>
      <c r="H284" s="105"/>
    </row>
    <row r="285" spans="2:10" x14ac:dyDescent="0.2">
      <c r="B285" s="228"/>
      <c r="C285" s="106"/>
      <c r="D285" s="106"/>
      <c r="E285" s="106"/>
      <c r="F285" s="106"/>
      <c r="G285" s="106"/>
      <c r="H285" s="229"/>
    </row>
    <row r="287" spans="2:10" x14ac:dyDescent="0.2">
      <c r="B287" s="492" t="s">
        <v>1580</v>
      </c>
      <c r="C287" s="492"/>
      <c r="D287" s="492"/>
      <c r="E287" s="492"/>
      <c r="F287" s="492"/>
      <c r="G287" s="492"/>
      <c r="H287" s="492"/>
      <c r="I287" s="492"/>
      <c r="J287" s="88"/>
    </row>
    <row r="288" spans="2:10" x14ac:dyDescent="0.2">
      <c r="B288" s="479" t="s">
        <v>1459</v>
      </c>
      <c r="C288" s="480" t="s">
        <v>1460</v>
      </c>
      <c r="D288" s="480"/>
      <c r="E288" s="107" t="s">
        <v>1461</v>
      </c>
      <c r="F288" s="107" t="s">
        <v>1462</v>
      </c>
      <c r="G288" s="480" t="s">
        <v>1463</v>
      </c>
      <c r="H288" s="480"/>
      <c r="I288" s="480"/>
      <c r="J288" s="480"/>
    </row>
    <row r="289" spans="2:10" ht="12" customHeight="1" x14ac:dyDescent="0.2">
      <c r="B289" s="479"/>
      <c r="C289" s="108" t="s">
        <v>1617</v>
      </c>
      <c r="D289" s="108" t="s">
        <v>1618</v>
      </c>
      <c r="E289" s="108" t="s">
        <v>1619</v>
      </c>
      <c r="F289" s="108" t="s">
        <v>1620</v>
      </c>
      <c r="G289" s="108" t="s">
        <v>1617</v>
      </c>
      <c r="H289" s="108" t="s">
        <v>1618</v>
      </c>
      <c r="I289" s="108" t="s">
        <v>1619</v>
      </c>
      <c r="J289" s="108" t="s">
        <v>1620</v>
      </c>
    </row>
    <row r="290" spans="2:10" x14ac:dyDescent="0.2">
      <c r="B290" s="109" t="s">
        <v>1621</v>
      </c>
      <c r="C290" s="110">
        <v>6.38330425665945E-2</v>
      </c>
      <c r="D290" s="110">
        <v>6.7060686629403898E-2</v>
      </c>
      <c r="E290" s="110">
        <v>4.1807379282435164E-2</v>
      </c>
      <c r="F290" s="110">
        <v>1.42044740620062E-2</v>
      </c>
      <c r="G290" s="230">
        <v>11380.9</v>
      </c>
      <c r="H290" s="230">
        <v>11453.2</v>
      </c>
      <c r="I290" s="230">
        <v>10893.891289070512</v>
      </c>
      <c r="J290" s="230">
        <v>10299.232410203807</v>
      </c>
    </row>
    <row r="291" spans="2:10" x14ac:dyDescent="0.2">
      <c r="B291" s="112" t="s">
        <v>1645</v>
      </c>
      <c r="C291" s="110">
        <v>3.2758917957513178E-2</v>
      </c>
      <c r="D291" s="110">
        <v>3.5926193921852478E-2</v>
      </c>
      <c r="E291" s="110">
        <v>4.0157306674357685E-3</v>
      </c>
      <c r="F291" s="110">
        <v>-3.9899777714890838E-2</v>
      </c>
      <c r="G291" s="230">
        <v>10327.589179575132</v>
      </c>
      <c r="H291" s="230">
        <v>10359.261939218524</v>
      </c>
      <c r="I291" s="230">
        <v>10040.157306674359</v>
      </c>
      <c r="J291" s="230">
        <v>9601.0022228510916</v>
      </c>
    </row>
    <row r="292" spans="2:10" x14ac:dyDescent="0.2">
      <c r="B292" s="282"/>
      <c r="C292" s="64"/>
      <c r="D292" s="64"/>
      <c r="E292" s="64"/>
      <c r="F292" s="64"/>
      <c r="G292" s="64"/>
      <c r="H292" s="64"/>
      <c r="I292" s="64"/>
      <c r="J292" s="64"/>
    </row>
    <row r="293" spans="2:10" x14ac:dyDescent="0.2">
      <c r="B293" s="478" t="s">
        <v>1615</v>
      </c>
      <c r="C293" s="478"/>
      <c r="D293" s="478"/>
      <c r="E293" s="478"/>
      <c r="F293" s="478"/>
      <c r="G293" s="116"/>
      <c r="H293" s="116"/>
      <c r="I293" s="116"/>
      <c r="J293" s="116"/>
    </row>
    <row r="294" spans="2:10" ht="12" customHeight="1" x14ac:dyDescent="0.2">
      <c r="B294" s="117"/>
      <c r="C294" s="118" t="s">
        <v>1621</v>
      </c>
      <c r="D294" s="108" t="s">
        <v>1645</v>
      </c>
      <c r="E294" s="108" t="s">
        <v>1646</v>
      </c>
      <c r="F294" s="116"/>
      <c r="G294" s="116"/>
      <c r="H294" s="116"/>
      <c r="I294" s="116"/>
      <c r="J294" s="116"/>
    </row>
    <row r="295" spans="2:10" x14ac:dyDescent="0.2">
      <c r="B295" s="109" t="s">
        <v>1470</v>
      </c>
      <c r="C295" s="88">
        <v>260000</v>
      </c>
      <c r="D295" s="88">
        <v>120000</v>
      </c>
      <c r="E295" s="274" t="s">
        <v>1587</v>
      </c>
      <c r="F295" s="116"/>
      <c r="G295" s="116"/>
      <c r="H295" s="116"/>
      <c r="I295" s="116"/>
      <c r="J295" s="116"/>
    </row>
    <row r="296" spans="2:10" x14ac:dyDescent="0.2">
      <c r="B296" s="109" t="s">
        <v>1471</v>
      </c>
      <c r="C296" s="119">
        <v>271454.99827765801</v>
      </c>
      <c r="D296" s="119">
        <v>120270.185542008</v>
      </c>
      <c r="E296" s="274" t="s">
        <v>1587</v>
      </c>
      <c r="F296" s="116"/>
      <c r="G296" s="116"/>
      <c r="H296" s="116"/>
      <c r="I296" s="116"/>
      <c r="J296" s="116"/>
    </row>
    <row r="297" spans="2:10" x14ac:dyDescent="0.2">
      <c r="B297" s="109" t="s">
        <v>1472</v>
      </c>
      <c r="C297" s="120">
        <v>3.9112982896055399</v>
      </c>
      <c r="D297" s="120">
        <v>0.42027930491153698</v>
      </c>
      <c r="E297" s="274" t="s">
        <v>1587</v>
      </c>
      <c r="F297" s="116"/>
      <c r="G297" s="116"/>
      <c r="H297" s="116"/>
      <c r="I297" s="116"/>
      <c r="J297" s="116"/>
    </row>
    <row r="298" spans="2:10" x14ac:dyDescent="0.2">
      <c r="B298" s="109" t="s">
        <v>1622</v>
      </c>
      <c r="C298" s="120">
        <v>-0.58161311539633098</v>
      </c>
      <c r="D298" s="120">
        <v>-8.3957422616102395</v>
      </c>
      <c r="E298" s="274" t="s">
        <v>1587</v>
      </c>
      <c r="F298" s="116"/>
      <c r="G298" s="116"/>
      <c r="H298" s="116"/>
      <c r="I298" s="116"/>
      <c r="J298" s="116"/>
    </row>
    <row r="299" spans="2:10" x14ac:dyDescent="0.2">
      <c r="B299" s="109" t="s">
        <v>1623</v>
      </c>
      <c r="C299" s="120">
        <v>-6.02152842615914</v>
      </c>
      <c r="D299" s="120">
        <v>-18.526630886529802</v>
      </c>
      <c r="E299" s="274" t="s">
        <v>1587</v>
      </c>
      <c r="F299" s="116"/>
      <c r="G299" s="116"/>
      <c r="H299" s="116"/>
      <c r="I299" s="116"/>
      <c r="J299" s="116"/>
    </row>
    <row r="300" spans="2:10" x14ac:dyDescent="0.2">
      <c r="B300" s="116"/>
      <c r="C300" s="116"/>
      <c r="D300" s="116"/>
      <c r="E300" s="116"/>
      <c r="F300" s="116"/>
      <c r="G300" s="116"/>
      <c r="H300" s="116"/>
      <c r="I300" s="116"/>
      <c r="J300" s="116"/>
    </row>
    <row r="301" spans="2:10" x14ac:dyDescent="0.2">
      <c r="B301" s="478" t="s">
        <v>1624</v>
      </c>
      <c r="C301" s="478"/>
      <c r="D301" s="478"/>
      <c r="E301" s="478"/>
      <c r="F301" s="478"/>
      <c r="G301" s="116"/>
      <c r="H301" s="116"/>
      <c r="I301" s="116"/>
      <c r="J301" s="116"/>
    </row>
    <row r="302" spans="2:10" ht="12" customHeight="1" x14ac:dyDescent="0.2">
      <c r="B302" s="117"/>
      <c r="C302" s="118" t="s">
        <v>1621</v>
      </c>
      <c r="D302" s="108" t="s">
        <v>1645</v>
      </c>
      <c r="E302" s="108" t="s">
        <v>1646</v>
      </c>
      <c r="F302" s="116"/>
      <c r="G302" s="116"/>
      <c r="H302" s="116"/>
      <c r="I302" s="116"/>
      <c r="J302" s="116"/>
    </row>
    <row r="303" spans="2:10" x14ac:dyDescent="0.2">
      <c r="B303" s="109" t="s">
        <v>1470</v>
      </c>
      <c r="C303" s="88">
        <v>260000</v>
      </c>
      <c r="D303" s="88">
        <v>120000</v>
      </c>
      <c r="E303" s="274" t="s">
        <v>1587</v>
      </c>
      <c r="F303" s="116"/>
      <c r="G303" s="116"/>
      <c r="H303" s="116"/>
      <c r="I303" s="116"/>
      <c r="J303" s="116"/>
    </row>
    <row r="304" spans="2:10" x14ac:dyDescent="0.2">
      <c r="B304" s="109" t="s">
        <v>1471</v>
      </c>
      <c r="C304" s="119">
        <v>272398.30894095701</v>
      </c>
      <c r="D304" s="119">
        <v>120466.11646991</v>
      </c>
      <c r="E304" s="274" t="s">
        <v>1587</v>
      </c>
      <c r="F304" s="116"/>
      <c r="G304" s="116"/>
      <c r="H304" s="116"/>
      <c r="I304" s="116"/>
      <c r="J304" s="116"/>
    </row>
    <row r="305" spans="2:10" x14ac:dyDescent="0.2">
      <c r="B305" s="109" t="s">
        <v>1472</v>
      </c>
      <c r="C305" s="120">
        <v>4.2302998044344804</v>
      </c>
      <c r="D305" s="120">
        <v>0.72539376542100298</v>
      </c>
      <c r="E305" s="274" t="s">
        <v>1587</v>
      </c>
      <c r="F305" s="116"/>
      <c r="G305" s="116"/>
      <c r="H305" s="116"/>
      <c r="I305" s="116"/>
      <c r="J305" s="116"/>
    </row>
    <row r="306" spans="2:10" x14ac:dyDescent="0.2">
      <c r="B306" s="109" t="s">
        <v>1622</v>
      </c>
      <c r="C306" s="120">
        <v>-0.58161311539633098</v>
      </c>
      <c r="D306" s="120">
        <v>-8.3957422616102395</v>
      </c>
      <c r="E306" s="274" t="s">
        <v>1587</v>
      </c>
      <c r="F306" s="116"/>
      <c r="G306" s="116"/>
      <c r="H306" s="116"/>
      <c r="I306" s="116"/>
      <c r="J306" s="116"/>
    </row>
    <row r="307" spans="2:10" x14ac:dyDescent="0.2">
      <c r="B307" s="109" t="s">
        <v>1623</v>
      </c>
      <c r="C307" s="120">
        <v>-6.02152842615914</v>
      </c>
      <c r="D307" s="120">
        <v>-18.526630886529802</v>
      </c>
      <c r="E307" s="274" t="s">
        <v>1587</v>
      </c>
      <c r="F307" s="116"/>
      <c r="G307" s="116"/>
      <c r="H307" s="116"/>
      <c r="I307" s="116"/>
      <c r="J307" s="116"/>
    </row>
    <row r="308" spans="2:10" x14ac:dyDescent="0.2">
      <c r="B308" s="116"/>
      <c r="C308" s="116"/>
      <c r="D308" s="116"/>
      <c r="E308" s="116"/>
      <c r="F308" s="116"/>
      <c r="G308" s="116"/>
      <c r="H308" s="116"/>
      <c r="I308" s="116"/>
      <c r="J308" s="116"/>
    </row>
    <row r="309" spans="2:10" x14ac:dyDescent="0.2">
      <c r="B309" s="107" t="s">
        <v>1649</v>
      </c>
      <c r="C309" s="117"/>
      <c r="D309" s="116"/>
      <c r="E309" s="116"/>
      <c r="F309" s="116"/>
      <c r="G309" s="116"/>
      <c r="H309" s="116"/>
      <c r="I309" s="116"/>
      <c r="J309" s="116"/>
    </row>
    <row r="310" spans="2:10" x14ac:dyDescent="0.2">
      <c r="B310" s="88" t="s">
        <v>1625</v>
      </c>
      <c r="C310" s="126">
        <v>4.6079705429097988</v>
      </c>
      <c r="D310" s="116"/>
      <c r="E310" s="116"/>
      <c r="F310" s="116"/>
      <c r="G310" s="116"/>
      <c r="H310" s="116"/>
      <c r="I310" s="116"/>
      <c r="J310" s="116"/>
    </row>
    <row r="311" spans="2:10" x14ac:dyDescent="0.2">
      <c r="B311" s="88" t="s">
        <v>1540</v>
      </c>
      <c r="C311" s="126">
        <v>3.6432475831832636</v>
      </c>
      <c r="D311" s="116"/>
      <c r="E311" s="116"/>
      <c r="F311" s="116"/>
      <c r="G311" s="116"/>
      <c r="H311" s="116"/>
      <c r="I311" s="116"/>
      <c r="J311" s="116"/>
    </row>
    <row r="312" spans="2:10" x14ac:dyDescent="0.2">
      <c r="B312" s="88" t="s">
        <v>1485</v>
      </c>
      <c r="C312" s="126">
        <v>3.7917237030240569</v>
      </c>
      <c r="D312" s="116"/>
      <c r="E312" s="116"/>
      <c r="F312" s="116"/>
      <c r="G312" s="116"/>
      <c r="H312" s="116"/>
      <c r="I312" s="116"/>
      <c r="J312" s="116"/>
    </row>
    <row r="313" spans="2:10" x14ac:dyDescent="0.2">
      <c r="B313" s="88" t="s">
        <v>1541</v>
      </c>
      <c r="C313" s="277">
        <v>7.3582261667506726E-2</v>
      </c>
      <c r="D313" s="276"/>
      <c r="E313" s="116"/>
      <c r="F313" s="116"/>
      <c r="G313" s="116"/>
      <c r="H313" s="116"/>
      <c r="I313" s="116"/>
      <c r="J313" s="116"/>
    </row>
    <row r="315" spans="2:10" x14ac:dyDescent="0.2">
      <c r="B315" s="116" t="s">
        <v>1542</v>
      </c>
      <c r="C315" s="185"/>
    </row>
    <row r="316" spans="2:10" x14ac:dyDescent="0.2">
      <c r="B316" s="116" t="s">
        <v>1592</v>
      </c>
      <c r="C316" s="185"/>
    </row>
    <row r="317" spans="2:10" x14ac:dyDescent="0.2">
      <c r="B317" s="116"/>
      <c r="C317" s="185"/>
    </row>
    <row r="318" spans="2:10" x14ac:dyDescent="0.2">
      <c r="B318" s="127" t="s">
        <v>1486</v>
      </c>
    </row>
    <row r="319" spans="2:10" x14ac:dyDescent="0.2">
      <c r="B319" s="47" t="s">
        <v>1626</v>
      </c>
    </row>
    <row r="320" spans="2:10" x14ac:dyDescent="0.2">
      <c r="B320" s="47" t="s">
        <v>1627</v>
      </c>
    </row>
    <row r="321" spans="2:4" x14ac:dyDescent="0.2">
      <c r="B321" s="47" t="s">
        <v>1489</v>
      </c>
    </row>
    <row r="323" spans="2:4" x14ac:dyDescent="0.2">
      <c r="C323" s="481" t="s">
        <v>1595</v>
      </c>
      <c r="D323" s="481"/>
    </row>
    <row r="324" spans="2:4" x14ac:dyDescent="0.2">
      <c r="B324" s="128" t="s">
        <v>1596</v>
      </c>
      <c r="C324" s="485" t="s">
        <v>1628</v>
      </c>
      <c r="D324" s="485"/>
    </row>
    <row r="325" spans="2:4" x14ac:dyDescent="0.2">
      <c r="B325" s="128"/>
      <c r="C325" s="485"/>
      <c r="D325" s="485"/>
    </row>
  </sheetData>
  <mergeCells count="10">
    <mergeCell ref="C323:D323"/>
    <mergeCell ref="C324:D324"/>
    <mergeCell ref="C325:D325"/>
    <mergeCell ref="G233:G256"/>
    <mergeCell ref="B287:I287"/>
    <mergeCell ref="B288:B289"/>
    <mergeCell ref="C288:D288"/>
    <mergeCell ref="G288:J288"/>
    <mergeCell ref="B293:F293"/>
    <mergeCell ref="B301:F301"/>
  </mergeCell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1036-63CD-4F20-B16D-50CF3153FB2D}">
  <sheetPr>
    <outlinePr summaryBelow="0"/>
  </sheetPr>
  <dimension ref="A1:I201"/>
  <sheetViews>
    <sheetView topLeftCell="A125" workbookViewId="0">
      <selection activeCell="B146" sqref="B146"/>
    </sheetView>
  </sheetViews>
  <sheetFormatPr defaultRowHeight="12" x14ac:dyDescent="0.2"/>
  <cols>
    <col min="1" max="1" width="3.28515625" style="286" customWidth="1"/>
    <col min="2" max="2" width="42.28515625" style="286" customWidth="1"/>
    <col min="3" max="3" width="17.5703125" style="286" customWidth="1"/>
    <col min="4" max="4" width="28.42578125" style="286" customWidth="1"/>
    <col min="5" max="5" width="16.7109375" style="286" customWidth="1"/>
    <col min="6" max="6" width="16.28515625" style="286" customWidth="1"/>
    <col min="7" max="7" width="13.7109375" style="286" customWidth="1"/>
    <col min="8" max="8" width="11.85546875" style="286" customWidth="1"/>
    <col min="9" max="9" width="11" style="286" customWidth="1"/>
    <col min="10" max="16384" width="9.140625" style="286"/>
  </cols>
  <sheetData>
    <row r="1" spans="1:9" ht="15.95" customHeight="1" x14ac:dyDescent="0.2">
      <c r="A1" s="284"/>
      <c r="B1" s="285" t="s">
        <v>1184</v>
      </c>
      <c r="C1" s="284"/>
      <c r="D1" s="284"/>
      <c r="E1" s="284"/>
      <c r="F1" s="284"/>
      <c r="G1" s="284"/>
      <c r="H1" s="284"/>
      <c r="I1" s="284"/>
    </row>
    <row r="2" spans="1:9" ht="12.95" customHeight="1" x14ac:dyDescent="0.2">
      <c r="A2" s="284"/>
      <c r="B2" s="287"/>
      <c r="C2" s="284"/>
      <c r="D2" s="284"/>
      <c r="E2" s="284"/>
      <c r="F2" s="284"/>
      <c r="G2" s="284"/>
      <c r="H2" s="284"/>
      <c r="I2" s="284"/>
    </row>
    <row r="3" spans="1:9" ht="12.95" customHeight="1" x14ac:dyDescent="0.2">
      <c r="A3" s="288" t="s">
        <v>0</v>
      </c>
      <c r="B3" s="289" t="s">
        <v>1</v>
      </c>
      <c r="C3" s="284"/>
      <c r="D3" s="284"/>
      <c r="E3" s="284"/>
      <c r="F3" s="284"/>
      <c r="G3" s="284"/>
      <c r="H3" s="284"/>
      <c r="I3" s="284"/>
    </row>
    <row r="4" spans="1:9" ht="27.95" customHeight="1" x14ac:dyDescent="0.2">
      <c r="A4" s="284"/>
      <c r="B4" s="290" t="s">
        <v>2</v>
      </c>
      <c r="C4" s="291" t="s">
        <v>3</v>
      </c>
      <c r="D4" s="292" t="s">
        <v>352</v>
      </c>
      <c r="E4" s="292" t="s">
        <v>5</v>
      </c>
      <c r="F4" s="292" t="s">
        <v>6</v>
      </c>
      <c r="G4" s="292" t="s">
        <v>7</v>
      </c>
      <c r="H4" s="292" t="s">
        <v>8</v>
      </c>
      <c r="I4" s="293" t="s">
        <v>9</v>
      </c>
    </row>
    <row r="5" spans="1:9" ht="12.95" customHeight="1" x14ac:dyDescent="0.2">
      <c r="A5" s="284"/>
      <c r="B5" s="294" t="s">
        <v>10</v>
      </c>
      <c r="C5" s="295"/>
      <c r="D5" s="295"/>
      <c r="E5" s="295"/>
      <c r="F5" s="295"/>
      <c r="G5" s="295"/>
      <c r="H5" s="296"/>
      <c r="I5" s="297"/>
    </row>
    <row r="6" spans="1:9" ht="12.95" customHeight="1" x14ac:dyDescent="0.2">
      <c r="A6" s="284"/>
      <c r="B6" s="294" t="s">
        <v>11</v>
      </c>
      <c r="C6" s="295"/>
      <c r="D6" s="295"/>
      <c r="E6" s="295"/>
      <c r="F6" s="284"/>
      <c r="G6" s="296"/>
      <c r="H6" s="296"/>
      <c r="I6" s="297"/>
    </row>
    <row r="7" spans="1:9" ht="12.95" customHeight="1" x14ac:dyDescent="0.2">
      <c r="A7" s="298" t="s">
        <v>12</v>
      </c>
      <c r="B7" s="299" t="s">
        <v>13</v>
      </c>
      <c r="C7" s="295" t="s">
        <v>14</v>
      </c>
      <c r="D7" s="295" t="s">
        <v>15</v>
      </c>
      <c r="E7" s="300">
        <v>663047</v>
      </c>
      <c r="F7" s="301">
        <v>4850.5200000000004</v>
      </c>
      <c r="G7" s="302">
        <v>8.7999999999999995E-2</v>
      </c>
      <c r="H7" s="296"/>
      <c r="I7" s="297"/>
    </row>
    <row r="8" spans="1:9" ht="12.95" customHeight="1" x14ac:dyDescent="0.2">
      <c r="A8" s="298" t="s">
        <v>130</v>
      </c>
      <c r="B8" s="299" t="s">
        <v>131</v>
      </c>
      <c r="C8" s="295" t="s">
        <v>132</v>
      </c>
      <c r="D8" s="295" t="s">
        <v>133</v>
      </c>
      <c r="E8" s="300">
        <v>292647</v>
      </c>
      <c r="F8" s="301">
        <v>3932.88</v>
      </c>
      <c r="G8" s="302">
        <v>7.1400000000000005E-2</v>
      </c>
      <c r="H8" s="296"/>
      <c r="I8" s="297"/>
    </row>
    <row r="9" spans="1:9" ht="12.95" customHeight="1" x14ac:dyDescent="0.2">
      <c r="A9" s="298" t="s">
        <v>24</v>
      </c>
      <c r="B9" s="299" t="s">
        <v>25</v>
      </c>
      <c r="C9" s="295" t="s">
        <v>26</v>
      </c>
      <c r="D9" s="295" t="s">
        <v>15</v>
      </c>
      <c r="E9" s="300">
        <v>309754</v>
      </c>
      <c r="F9" s="301">
        <v>3735.32</v>
      </c>
      <c r="G9" s="302">
        <v>6.7799999999999999E-2</v>
      </c>
      <c r="H9" s="296"/>
      <c r="I9" s="297"/>
    </row>
    <row r="10" spans="1:9" ht="12.95" customHeight="1" x14ac:dyDescent="0.2">
      <c r="A10" s="298" t="s">
        <v>49</v>
      </c>
      <c r="B10" s="299" t="s">
        <v>50</v>
      </c>
      <c r="C10" s="295" t="s">
        <v>51</v>
      </c>
      <c r="D10" s="295" t="s">
        <v>52</v>
      </c>
      <c r="E10" s="300">
        <v>132987</v>
      </c>
      <c r="F10" s="301">
        <v>2370.36</v>
      </c>
      <c r="G10" s="302">
        <v>4.2999999999999997E-2</v>
      </c>
      <c r="H10" s="296"/>
      <c r="I10" s="297"/>
    </row>
    <row r="11" spans="1:9" ht="12.95" customHeight="1" x14ac:dyDescent="0.2">
      <c r="A11" s="298" t="s">
        <v>56</v>
      </c>
      <c r="B11" s="299" t="s">
        <v>57</v>
      </c>
      <c r="C11" s="295" t="s">
        <v>58</v>
      </c>
      <c r="D11" s="295" t="s">
        <v>45</v>
      </c>
      <c r="E11" s="300">
        <v>151909</v>
      </c>
      <c r="F11" s="301">
        <v>1899.77</v>
      </c>
      <c r="G11" s="302">
        <v>3.4500000000000003E-2</v>
      </c>
      <c r="H11" s="296"/>
      <c r="I11" s="297"/>
    </row>
    <row r="12" spans="1:9" ht="12.95" customHeight="1" x14ac:dyDescent="0.2">
      <c r="A12" s="298" t="s">
        <v>716</v>
      </c>
      <c r="B12" s="299" t="s">
        <v>717</v>
      </c>
      <c r="C12" s="295" t="s">
        <v>718</v>
      </c>
      <c r="D12" s="295" t="s">
        <v>719</v>
      </c>
      <c r="E12" s="300">
        <v>50871</v>
      </c>
      <c r="F12" s="301">
        <v>1782.57</v>
      </c>
      <c r="G12" s="302">
        <v>3.2300000000000002E-2</v>
      </c>
      <c r="H12" s="296"/>
      <c r="I12" s="297"/>
    </row>
    <row r="13" spans="1:9" ht="12.95" customHeight="1" x14ac:dyDescent="0.2">
      <c r="A13" s="298" t="s">
        <v>647</v>
      </c>
      <c r="B13" s="299" t="s">
        <v>648</v>
      </c>
      <c r="C13" s="295" t="s">
        <v>649</v>
      </c>
      <c r="D13" s="295" t="s">
        <v>15</v>
      </c>
      <c r="E13" s="300">
        <v>179796</v>
      </c>
      <c r="F13" s="301">
        <v>1760.92</v>
      </c>
      <c r="G13" s="302">
        <v>3.2000000000000001E-2</v>
      </c>
      <c r="H13" s="296"/>
      <c r="I13" s="297"/>
    </row>
    <row r="14" spans="1:9" ht="12.95" customHeight="1" x14ac:dyDescent="0.2">
      <c r="A14" s="298" t="s">
        <v>46</v>
      </c>
      <c r="B14" s="299" t="s">
        <v>47</v>
      </c>
      <c r="C14" s="295" t="s">
        <v>48</v>
      </c>
      <c r="D14" s="295" t="s">
        <v>15</v>
      </c>
      <c r="E14" s="300">
        <v>124315</v>
      </c>
      <c r="F14" s="301">
        <v>1443.67</v>
      </c>
      <c r="G14" s="302">
        <v>2.6200000000000001E-2</v>
      </c>
      <c r="H14" s="296"/>
      <c r="I14" s="297"/>
    </row>
    <row r="15" spans="1:9" ht="12.95" customHeight="1" x14ac:dyDescent="0.2">
      <c r="A15" s="298" t="s">
        <v>27</v>
      </c>
      <c r="B15" s="299" t="s">
        <v>28</v>
      </c>
      <c r="C15" s="295" t="s">
        <v>29</v>
      </c>
      <c r="D15" s="295" t="s">
        <v>30</v>
      </c>
      <c r="E15" s="300">
        <v>417603</v>
      </c>
      <c r="F15" s="301">
        <v>1201.44</v>
      </c>
      <c r="G15" s="302">
        <v>2.18E-2</v>
      </c>
      <c r="H15" s="296"/>
      <c r="I15" s="297"/>
    </row>
    <row r="16" spans="1:9" ht="12.95" customHeight="1" x14ac:dyDescent="0.2">
      <c r="A16" s="298" t="s">
        <v>38</v>
      </c>
      <c r="B16" s="299" t="s">
        <v>39</v>
      </c>
      <c r="C16" s="295" t="s">
        <v>40</v>
      </c>
      <c r="D16" s="295" t="s">
        <v>41</v>
      </c>
      <c r="E16" s="300">
        <v>38717</v>
      </c>
      <c r="F16" s="301">
        <v>1143.97</v>
      </c>
      <c r="G16" s="302">
        <v>2.0799999999999999E-2</v>
      </c>
      <c r="H16" s="296"/>
      <c r="I16" s="297"/>
    </row>
    <row r="17" spans="1:9" ht="12.95" customHeight="1" x14ac:dyDescent="0.2">
      <c r="A17" s="298" t="s">
        <v>35</v>
      </c>
      <c r="B17" s="299" t="s">
        <v>36</v>
      </c>
      <c r="C17" s="295" t="s">
        <v>37</v>
      </c>
      <c r="D17" s="295" t="s">
        <v>15</v>
      </c>
      <c r="E17" s="300">
        <v>318976</v>
      </c>
      <c r="F17" s="301">
        <v>1127.26</v>
      </c>
      <c r="G17" s="302">
        <v>2.0500000000000001E-2</v>
      </c>
      <c r="H17" s="296"/>
      <c r="I17" s="297"/>
    </row>
    <row r="18" spans="1:9" ht="12.95" customHeight="1" x14ac:dyDescent="0.2">
      <c r="A18" s="298" t="s">
        <v>59</v>
      </c>
      <c r="B18" s="299" t="s">
        <v>60</v>
      </c>
      <c r="C18" s="295" t="s">
        <v>61</v>
      </c>
      <c r="D18" s="295" t="s">
        <v>45</v>
      </c>
      <c r="E18" s="300">
        <v>44244</v>
      </c>
      <c r="F18" s="301">
        <v>1043.67</v>
      </c>
      <c r="G18" s="302">
        <v>1.89E-2</v>
      </c>
      <c r="H18" s="296"/>
      <c r="I18" s="297"/>
    </row>
    <row r="19" spans="1:9" ht="12.95" customHeight="1" x14ac:dyDescent="0.2">
      <c r="A19" s="298" t="s">
        <v>681</v>
      </c>
      <c r="B19" s="299" t="s">
        <v>682</v>
      </c>
      <c r="C19" s="295" t="s">
        <v>683</v>
      </c>
      <c r="D19" s="295" t="s">
        <v>34</v>
      </c>
      <c r="E19" s="300">
        <v>115907</v>
      </c>
      <c r="F19" s="301">
        <v>929.05</v>
      </c>
      <c r="G19" s="302">
        <v>1.6899999999999998E-2</v>
      </c>
      <c r="H19" s="296"/>
      <c r="I19" s="297"/>
    </row>
    <row r="20" spans="1:9" ht="12.95" customHeight="1" x14ac:dyDescent="0.2">
      <c r="A20" s="298" t="s">
        <v>138</v>
      </c>
      <c r="B20" s="299" t="s">
        <v>139</v>
      </c>
      <c r="C20" s="295" t="s">
        <v>140</v>
      </c>
      <c r="D20" s="295" t="s">
        <v>65</v>
      </c>
      <c r="E20" s="300">
        <v>45875</v>
      </c>
      <c r="F20" s="301">
        <v>806.12</v>
      </c>
      <c r="G20" s="302">
        <v>1.46E-2</v>
      </c>
      <c r="H20" s="296"/>
      <c r="I20" s="297"/>
    </row>
    <row r="21" spans="1:9" ht="12.95" customHeight="1" x14ac:dyDescent="0.2">
      <c r="A21" s="298" t="s">
        <v>1023</v>
      </c>
      <c r="B21" s="299" t="s">
        <v>1024</v>
      </c>
      <c r="C21" s="295" t="s">
        <v>1025</v>
      </c>
      <c r="D21" s="295" t="s">
        <v>30</v>
      </c>
      <c r="E21" s="300">
        <v>38449</v>
      </c>
      <c r="F21" s="301">
        <v>790.2</v>
      </c>
      <c r="G21" s="302">
        <v>1.43E-2</v>
      </c>
      <c r="H21" s="296"/>
      <c r="I21" s="297"/>
    </row>
    <row r="22" spans="1:9" ht="12.95" customHeight="1" x14ac:dyDescent="0.2">
      <c r="A22" s="298" t="s">
        <v>1026</v>
      </c>
      <c r="B22" s="299" t="s">
        <v>1027</v>
      </c>
      <c r="C22" s="295" t="s">
        <v>1028</v>
      </c>
      <c r="D22" s="295" t="s">
        <v>19</v>
      </c>
      <c r="E22" s="300">
        <v>205407</v>
      </c>
      <c r="F22" s="301">
        <v>761.34</v>
      </c>
      <c r="G22" s="302">
        <v>1.38E-2</v>
      </c>
      <c r="H22" s="296"/>
      <c r="I22" s="297"/>
    </row>
    <row r="23" spans="1:9" ht="12.95" customHeight="1" x14ac:dyDescent="0.2">
      <c r="A23" s="298" t="s">
        <v>699</v>
      </c>
      <c r="B23" s="299" t="s">
        <v>700</v>
      </c>
      <c r="C23" s="295" t="s">
        <v>701</v>
      </c>
      <c r="D23" s="295" t="s">
        <v>702</v>
      </c>
      <c r="E23" s="300">
        <v>312100</v>
      </c>
      <c r="F23" s="301">
        <v>714.65</v>
      </c>
      <c r="G23" s="302">
        <v>1.2999999999999999E-2</v>
      </c>
      <c r="H23" s="296"/>
      <c r="I23" s="297"/>
    </row>
    <row r="24" spans="1:9" ht="12.95" customHeight="1" x14ac:dyDescent="0.2">
      <c r="A24" s="298" t="s">
        <v>134</v>
      </c>
      <c r="B24" s="299" t="s">
        <v>135</v>
      </c>
      <c r="C24" s="295" t="s">
        <v>136</v>
      </c>
      <c r="D24" s="295" t="s">
        <v>137</v>
      </c>
      <c r="E24" s="300">
        <v>17878</v>
      </c>
      <c r="F24" s="301">
        <v>706.43</v>
      </c>
      <c r="G24" s="302">
        <v>1.2800000000000001E-2</v>
      </c>
      <c r="H24" s="296"/>
      <c r="I24" s="297"/>
    </row>
    <row r="25" spans="1:9" ht="12.95" customHeight="1" x14ac:dyDescent="0.2">
      <c r="A25" s="298" t="s">
        <v>53</v>
      </c>
      <c r="B25" s="299" t="s">
        <v>54</v>
      </c>
      <c r="C25" s="295" t="s">
        <v>55</v>
      </c>
      <c r="D25" s="295" t="s">
        <v>41</v>
      </c>
      <c r="E25" s="300">
        <v>5685</v>
      </c>
      <c r="F25" s="301">
        <v>699.6</v>
      </c>
      <c r="G25" s="302">
        <v>1.2699999999999999E-2</v>
      </c>
      <c r="H25" s="296"/>
      <c r="I25" s="297"/>
    </row>
    <row r="26" spans="1:9" ht="12.95" customHeight="1" x14ac:dyDescent="0.2">
      <c r="A26" s="298" t="s">
        <v>650</v>
      </c>
      <c r="B26" s="299" t="s">
        <v>651</v>
      </c>
      <c r="C26" s="295" t="s">
        <v>652</v>
      </c>
      <c r="D26" s="295" t="s">
        <v>653</v>
      </c>
      <c r="E26" s="300">
        <v>358113</v>
      </c>
      <c r="F26" s="301">
        <v>687.08</v>
      </c>
      <c r="G26" s="302">
        <v>1.2500000000000001E-2</v>
      </c>
      <c r="H26" s="296"/>
      <c r="I26" s="297"/>
    </row>
    <row r="27" spans="1:9" ht="12.95" customHeight="1" x14ac:dyDescent="0.2">
      <c r="A27" s="298" t="s">
        <v>148</v>
      </c>
      <c r="B27" s="299" t="s">
        <v>149</v>
      </c>
      <c r="C27" s="295" t="s">
        <v>150</v>
      </c>
      <c r="D27" s="295" t="s">
        <v>151</v>
      </c>
      <c r="E27" s="300">
        <v>155185</v>
      </c>
      <c r="F27" s="301">
        <v>621.75</v>
      </c>
      <c r="G27" s="302">
        <v>1.1299999999999999E-2</v>
      </c>
      <c r="H27" s="296"/>
      <c r="I27" s="297"/>
    </row>
    <row r="28" spans="1:9" ht="12.95" customHeight="1" x14ac:dyDescent="0.2">
      <c r="A28" s="298" t="s">
        <v>42</v>
      </c>
      <c r="B28" s="299" t="s">
        <v>43</v>
      </c>
      <c r="C28" s="295" t="s">
        <v>44</v>
      </c>
      <c r="D28" s="295" t="s">
        <v>45</v>
      </c>
      <c r="E28" s="300">
        <v>45721</v>
      </c>
      <c r="F28" s="301">
        <v>613.39</v>
      </c>
      <c r="G28" s="302">
        <v>1.11E-2</v>
      </c>
      <c r="H28" s="296"/>
      <c r="I28" s="297"/>
    </row>
    <row r="29" spans="1:9" ht="12.95" customHeight="1" x14ac:dyDescent="0.2">
      <c r="A29" s="298" t="s">
        <v>16</v>
      </c>
      <c r="B29" s="299" t="s">
        <v>17</v>
      </c>
      <c r="C29" s="295" t="s">
        <v>18</v>
      </c>
      <c r="D29" s="295" t="s">
        <v>19</v>
      </c>
      <c r="E29" s="300">
        <v>196231</v>
      </c>
      <c r="F29" s="301">
        <v>581.04</v>
      </c>
      <c r="G29" s="302">
        <v>1.0500000000000001E-2</v>
      </c>
      <c r="H29" s="296"/>
      <c r="I29" s="297"/>
    </row>
    <row r="30" spans="1:9" ht="12.95" customHeight="1" x14ac:dyDescent="0.2">
      <c r="A30" s="298" t="s">
        <v>141</v>
      </c>
      <c r="B30" s="299" t="s">
        <v>142</v>
      </c>
      <c r="C30" s="295" t="s">
        <v>143</v>
      </c>
      <c r="D30" s="295" t="s">
        <v>144</v>
      </c>
      <c r="E30" s="300">
        <v>62714</v>
      </c>
      <c r="F30" s="301">
        <v>554.66999999999996</v>
      </c>
      <c r="G30" s="302">
        <v>1.01E-2</v>
      </c>
      <c r="H30" s="296"/>
      <c r="I30" s="297"/>
    </row>
    <row r="31" spans="1:9" ht="12.95" customHeight="1" x14ac:dyDescent="0.2">
      <c r="A31" s="298" t="s">
        <v>665</v>
      </c>
      <c r="B31" s="299" t="s">
        <v>666</v>
      </c>
      <c r="C31" s="295" t="s">
        <v>667</v>
      </c>
      <c r="D31" s="295" t="s">
        <v>461</v>
      </c>
      <c r="E31" s="300">
        <v>5130</v>
      </c>
      <c r="F31" s="301">
        <v>551.22</v>
      </c>
      <c r="G31" s="302">
        <v>0.01</v>
      </c>
      <c r="H31" s="296"/>
      <c r="I31" s="297"/>
    </row>
    <row r="32" spans="1:9" ht="12.95" customHeight="1" x14ac:dyDescent="0.2">
      <c r="A32" s="298" t="s">
        <v>662</v>
      </c>
      <c r="B32" s="299" t="s">
        <v>663</v>
      </c>
      <c r="C32" s="295" t="s">
        <v>664</v>
      </c>
      <c r="D32" s="295" t="s">
        <v>34</v>
      </c>
      <c r="E32" s="300">
        <v>60672</v>
      </c>
      <c r="F32" s="301">
        <v>529.12</v>
      </c>
      <c r="G32" s="302">
        <v>9.5999999999999992E-3</v>
      </c>
      <c r="H32" s="296"/>
      <c r="I32" s="297"/>
    </row>
    <row r="33" spans="1:9" ht="12.95" customHeight="1" x14ac:dyDescent="0.2">
      <c r="A33" s="298" t="s">
        <v>1029</v>
      </c>
      <c r="B33" s="299" t="s">
        <v>1030</v>
      </c>
      <c r="C33" s="295" t="s">
        <v>1031</v>
      </c>
      <c r="D33" s="295" t="s">
        <v>1032</v>
      </c>
      <c r="E33" s="300">
        <v>73620</v>
      </c>
      <c r="F33" s="301">
        <v>482.06</v>
      </c>
      <c r="G33" s="302">
        <v>8.6999999999999994E-3</v>
      </c>
      <c r="H33" s="296"/>
      <c r="I33" s="297"/>
    </row>
    <row r="34" spans="1:9" ht="12.95" customHeight="1" x14ac:dyDescent="0.2">
      <c r="A34" s="298" t="s">
        <v>1033</v>
      </c>
      <c r="B34" s="299" t="s">
        <v>1034</v>
      </c>
      <c r="C34" s="295" t="s">
        <v>1035</v>
      </c>
      <c r="D34" s="295" t="s">
        <v>1036</v>
      </c>
      <c r="E34" s="300">
        <v>168307</v>
      </c>
      <c r="F34" s="301">
        <v>479.09</v>
      </c>
      <c r="G34" s="302">
        <v>8.6999999999999994E-3</v>
      </c>
      <c r="H34" s="296"/>
      <c r="I34" s="297"/>
    </row>
    <row r="35" spans="1:9" ht="12.95" customHeight="1" x14ac:dyDescent="0.2">
      <c r="A35" s="298" t="s">
        <v>732</v>
      </c>
      <c r="B35" s="299" t="s">
        <v>733</v>
      </c>
      <c r="C35" s="295" t="s">
        <v>734</v>
      </c>
      <c r="D35" s="295" t="s">
        <v>653</v>
      </c>
      <c r="E35" s="300">
        <v>40622</v>
      </c>
      <c r="F35" s="301">
        <v>455.98</v>
      </c>
      <c r="G35" s="302">
        <v>8.3000000000000001E-3</v>
      </c>
      <c r="H35" s="296"/>
      <c r="I35" s="297"/>
    </row>
    <row r="36" spans="1:9" ht="12.95" customHeight="1" x14ac:dyDescent="0.2">
      <c r="A36" s="298" t="s">
        <v>20</v>
      </c>
      <c r="B36" s="299" t="s">
        <v>21</v>
      </c>
      <c r="C36" s="295" t="s">
        <v>22</v>
      </c>
      <c r="D36" s="295" t="s">
        <v>23</v>
      </c>
      <c r="E36" s="300">
        <v>98370</v>
      </c>
      <c r="F36" s="301">
        <v>443.11</v>
      </c>
      <c r="G36" s="302">
        <v>8.0000000000000002E-3</v>
      </c>
      <c r="H36" s="296"/>
      <c r="I36" s="297"/>
    </row>
    <row r="37" spans="1:9" ht="12.95" customHeight="1" x14ac:dyDescent="0.2">
      <c r="A37" s="298" t="s">
        <v>1037</v>
      </c>
      <c r="B37" s="299" t="s">
        <v>1038</v>
      </c>
      <c r="C37" s="295" t="s">
        <v>1039</v>
      </c>
      <c r="D37" s="295" t="s">
        <v>137</v>
      </c>
      <c r="E37" s="300">
        <v>19590</v>
      </c>
      <c r="F37" s="301">
        <v>424.16</v>
      </c>
      <c r="G37" s="302">
        <v>7.7000000000000002E-3</v>
      </c>
      <c r="H37" s="296"/>
      <c r="I37" s="297"/>
    </row>
    <row r="38" spans="1:9" ht="12.95" customHeight="1" x14ac:dyDescent="0.2">
      <c r="A38" s="298" t="s">
        <v>709</v>
      </c>
      <c r="B38" s="299" t="s">
        <v>710</v>
      </c>
      <c r="C38" s="295" t="s">
        <v>711</v>
      </c>
      <c r="D38" s="295" t="s">
        <v>461</v>
      </c>
      <c r="E38" s="300">
        <v>16494</v>
      </c>
      <c r="F38" s="301">
        <v>421.87</v>
      </c>
      <c r="G38" s="302">
        <v>7.7000000000000002E-3</v>
      </c>
      <c r="H38" s="296"/>
      <c r="I38" s="297"/>
    </row>
    <row r="39" spans="1:9" ht="12.95" customHeight="1" x14ac:dyDescent="0.2">
      <c r="A39" s="298" t="s">
        <v>1040</v>
      </c>
      <c r="B39" s="299" t="s">
        <v>1041</v>
      </c>
      <c r="C39" s="295" t="s">
        <v>1042</v>
      </c>
      <c r="D39" s="295" t="s">
        <v>41</v>
      </c>
      <c r="E39" s="300">
        <v>4800</v>
      </c>
      <c r="F39" s="301">
        <v>421.51</v>
      </c>
      <c r="G39" s="302">
        <v>7.6E-3</v>
      </c>
      <c r="H39" s="296"/>
      <c r="I39" s="297"/>
    </row>
    <row r="40" spans="1:9" ht="12.95" customHeight="1" x14ac:dyDescent="0.2">
      <c r="A40" s="298" t="s">
        <v>1043</v>
      </c>
      <c r="B40" s="299" t="s">
        <v>1044</v>
      </c>
      <c r="C40" s="295" t="s">
        <v>1045</v>
      </c>
      <c r="D40" s="295" t="s">
        <v>674</v>
      </c>
      <c r="E40" s="300">
        <v>31963</v>
      </c>
      <c r="F40" s="301">
        <v>419.55</v>
      </c>
      <c r="G40" s="302">
        <v>7.6E-3</v>
      </c>
      <c r="H40" s="296"/>
      <c r="I40" s="297"/>
    </row>
    <row r="41" spans="1:9" ht="12.95" customHeight="1" x14ac:dyDescent="0.2">
      <c r="A41" s="298" t="s">
        <v>745</v>
      </c>
      <c r="B41" s="299" t="s">
        <v>746</v>
      </c>
      <c r="C41" s="295" t="s">
        <v>747</v>
      </c>
      <c r="D41" s="295" t="s">
        <v>34</v>
      </c>
      <c r="E41" s="300">
        <v>25007</v>
      </c>
      <c r="F41" s="301">
        <v>408.06</v>
      </c>
      <c r="G41" s="302">
        <v>7.4000000000000003E-3</v>
      </c>
      <c r="H41" s="296"/>
      <c r="I41" s="297"/>
    </row>
    <row r="42" spans="1:9" ht="12.95" customHeight="1" x14ac:dyDescent="0.2">
      <c r="A42" s="298" t="s">
        <v>687</v>
      </c>
      <c r="B42" s="299" t="s">
        <v>688</v>
      </c>
      <c r="C42" s="295" t="s">
        <v>689</v>
      </c>
      <c r="D42" s="295" t="s">
        <v>41</v>
      </c>
      <c r="E42" s="300">
        <v>5962</v>
      </c>
      <c r="F42" s="301">
        <v>392.66</v>
      </c>
      <c r="G42" s="302">
        <v>7.1000000000000004E-3</v>
      </c>
      <c r="H42" s="296"/>
      <c r="I42" s="297"/>
    </row>
    <row r="43" spans="1:9" ht="12.95" customHeight="1" x14ac:dyDescent="0.2">
      <c r="A43" s="298" t="s">
        <v>1046</v>
      </c>
      <c r="B43" s="299" t="s">
        <v>1047</v>
      </c>
      <c r="C43" s="295" t="s">
        <v>1048</v>
      </c>
      <c r="D43" s="295" t="s">
        <v>94</v>
      </c>
      <c r="E43" s="300">
        <v>9801</v>
      </c>
      <c r="F43" s="301">
        <v>386.5</v>
      </c>
      <c r="G43" s="302">
        <v>7.0000000000000001E-3</v>
      </c>
      <c r="H43" s="296"/>
      <c r="I43" s="297"/>
    </row>
    <row r="44" spans="1:9" ht="12.95" customHeight="1" x14ac:dyDescent="0.2">
      <c r="A44" s="298" t="s">
        <v>1049</v>
      </c>
      <c r="B44" s="299" t="s">
        <v>1050</v>
      </c>
      <c r="C44" s="295" t="s">
        <v>1051</v>
      </c>
      <c r="D44" s="295" t="s">
        <v>45</v>
      </c>
      <c r="E44" s="300">
        <v>27506</v>
      </c>
      <c r="F44" s="301">
        <v>380.68</v>
      </c>
      <c r="G44" s="302">
        <v>6.8999999999999999E-3</v>
      </c>
      <c r="H44" s="296"/>
      <c r="I44" s="297"/>
    </row>
    <row r="45" spans="1:9" ht="12.95" customHeight="1" x14ac:dyDescent="0.2">
      <c r="A45" s="298" t="s">
        <v>817</v>
      </c>
      <c r="B45" s="299" t="s">
        <v>818</v>
      </c>
      <c r="C45" s="295" t="s">
        <v>819</v>
      </c>
      <c r="D45" s="295" t="s">
        <v>75</v>
      </c>
      <c r="E45" s="300">
        <v>31064</v>
      </c>
      <c r="F45" s="301">
        <v>364.94</v>
      </c>
      <c r="G45" s="302">
        <v>6.6E-3</v>
      </c>
      <c r="H45" s="296"/>
      <c r="I45" s="297"/>
    </row>
    <row r="46" spans="1:9" ht="12.95" customHeight="1" x14ac:dyDescent="0.2">
      <c r="A46" s="298" t="s">
        <v>1052</v>
      </c>
      <c r="B46" s="299" t="s">
        <v>1053</v>
      </c>
      <c r="C46" s="295" t="s">
        <v>1054</v>
      </c>
      <c r="D46" s="295" t="s">
        <v>1055</v>
      </c>
      <c r="E46" s="300">
        <v>90551</v>
      </c>
      <c r="F46" s="301">
        <v>357.5</v>
      </c>
      <c r="G46" s="302">
        <v>6.4999999999999997E-3</v>
      </c>
      <c r="H46" s="296"/>
      <c r="I46" s="297"/>
    </row>
    <row r="47" spans="1:9" ht="12.95" customHeight="1" x14ac:dyDescent="0.2">
      <c r="A47" s="298" t="s">
        <v>788</v>
      </c>
      <c r="B47" s="299" t="s">
        <v>789</v>
      </c>
      <c r="C47" s="295" t="s">
        <v>790</v>
      </c>
      <c r="D47" s="295" t="s">
        <v>791</v>
      </c>
      <c r="E47" s="300">
        <v>19459</v>
      </c>
      <c r="F47" s="301">
        <v>345.84</v>
      </c>
      <c r="G47" s="302">
        <v>6.3E-3</v>
      </c>
      <c r="H47" s="296"/>
      <c r="I47" s="297"/>
    </row>
    <row r="48" spans="1:9" ht="12.95" customHeight="1" x14ac:dyDescent="0.2">
      <c r="A48" s="298" t="s">
        <v>1056</v>
      </c>
      <c r="B48" s="299" t="s">
        <v>1057</v>
      </c>
      <c r="C48" s="295" t="s">
        <v>1058</v>
      </c>
      <c r="D48" s="295" t="s">
        <v>41</v>
      </c>
      <c r="E48" s="300">
        <v>10175</v>
      </c>
      <c r="F48" s="301">
        <v>342.27</v>
      </c>
      <c r="G48" s="302">
        <v>6.1999999999999998E-3</v>
      </c>
      <c r="H48" s="296"/>
      <c r="I48" s="297"/>
    </row>
    <row r="49" spans="1:9" ht="12.95" customHeight="1" x14ac:dyDescent="0.2">
      <c r="A49" s="298" t="s">
        <v>62</v>
      </c>
      <c r="B49" s="299" t="s">
        <v>63</v>
      </c>
      <c r="C49" s="295" t="s">
        <v>64</v>
      </c>
      <c r="D49" s="295" t="s">
        <v>65</v>
      </c>
      <c r="E49" s="300">
        <v>26402</v>
      </c>
      <c r="F49" s="301">
        <v>331.32</v>
      </c>
      <c r="G49" s="302">
        <v>6.0000000000000001E-3</v>
      </c>
      <c r="H49" s="296"/>
      <c r="I49" s="297"/>
    </row>
    <row r="50" spans="1:9" ht="12.95" customHeight="1" x14ac:dyDescent="0.2">
      <c r="A50" s="298" t="s">
        <v>1059</v>
      </c>
      <c r="B50" s="299" t="s">
        <v>1060</v>
      </c>
      <c r="C50" s="295" t="s">
        <v>1061</v>
      </c>
      <c r="D50" s="295" t="s">
        <v>90</v>
      </c>
      <c r="E50" s="300">
        <v>4458</v>
      </c>
      <c r="F50" s="301">
        <v>330.74</v>
      </c>
      <c r="G50" s="302">
        <v>6.0000000000000001E-3</v>
      </c>
      <c r="H50" s="296"/>
      <c r="I50" s="297"/>
    </row>
    <row r="51" spans="1:9" ht="12.95" customHeight="1" x14ac:dyDescent="0.2">
      <c r="A51" s="298" t="s">
        <v>767</v>
      </c>
      <c r="B51" s="299" t="s">
        <v>768</v>
      </c>
      <c r="C51" s="295" t="s">
        <v>769</v>
      </c>
      <c r="D51" s="295" t="s">
        <v>65</v>
      </c>
      <c r="E51" s="300">
        <v>5506</v>
      </c>
      <c r="F51" s="301">
        <v>327.44</v>
      </c>
      <c r="G51" s="302">
        <v>5.8999999999999999E-3</v>
      </c>
      <c r="H51" s="296"/>
      <c r="I51" s="297"/>
    </row>
    <row r="52" spans="1:9" ht="12.95" customHeight="1" x14ac:dyDescent="0.2">
      <c r="A52" s="298" t="s">
        <v>703</v>
      </c>
      <c r="B52" s="299" t="s">
        <v>704</v>
      </c>
      <c r="C52" s="295" t="s">
        <v>705</v>
      </c>
      <c r="D52" s="295" t="s">
        <v>34</v>
      </c>
      <c r="E52" s="300">
        <v>142094</v>
      </c>
      <c r="F52" s="301">
        <v>318.43</v>
      </c>
      <c r="G52" s="302">
        <v>5.7999999999999996E-3</v>
      </c>
      <c r="H52" s="296"/>
      <c r="I52" s="297"/>
    </row>
    <row r="53" spans="1:9" ht="12.95" customHeight="1" x14ac:dyDescent="0.2">
      <c r="A53" s="298" t="s">
        <v>1062</v>
      </c>
      <c r="B53" s="299" t="s">
        <v>1063</v>
      </c>
      <c r="C53" s="295" t="s">
        <v>1064</v>
      </c>
      <c r="D53" s="295" t="s">
        <v>702</v>
      </c>
      <c r="E53" s="300">
        <v>9613</v>
      </c>
      <c r="F53" s="301">
        <v>316.83</v>
      </c>
      <c r="G53" s="302">
        <v>5.7000000000000002E-3</v>
      </c>
      <c r="H53" s="296"/>
      <c r="I53" s="297"/>
    </row>
    <row r="54" spans="1:9" ht="12.95" customHeight="1" x14ac:dyDescent="0.2">
      <c r="A54" s="298" t="s">
        <v>1065</v>
      </c>
      <c r="B54" s="299" t="s">
        <v>1066</v>
      </c>
      <c r="C54" s="295" t="s">
        <v>1067</v>
      </c>
      <c r="D54" s="295" t="s">
        <v>90</v>
      </c>
      <c r="E54" s="300">
        <v>32238</v>
      </c>
      <c r="F54" s="301">
        <v>310.23</v>
      </c>
      <c r="G54" s="302">
        <v>5.5999999999999999E-3</v>
      </c>
      <c r="H54" s="296"/>
      <c r="I54" s="297"/>
    </row>
    <row r="55" spans="1:9" ht="12.95" customHeight="1" x14ac:dyDescent="0.2">
      <c r="A55" s="298" t="s">
        <v>69</v>
      </c>
      <c r="B55" s="299" t="s">
        <v>70</v>
      </c>
      <c r="C55" s="295" t="s">
        <v>71</v>
      </c>
      <c r="D55" s="295" t="s">
        <v>65</v>
      </c>
      <c r="E55" s="300">
        <v>24375</v>
      </c>
      <c r="F55" s="301">
        <v>298.39999999999998</v>
      </c>
      <c r="G55" s="302">
        <v>5.4000000000000003E-3</v>
      </c>
      <c r="H55" s="296"/>
      <c r="I55" s="297"/>
    </row>
    <row r="56" spans="1:9" ht="12.95" customHeight="1" x14ac:dyDescent="0.2">
      <c r="A56" s="298" t="s">
        <v>684</v>
      </c>
      <c r="B56" s="299" t="s">
        <v>685</v>
      </c>
      <c r="C56" s="295" t="s">
        <v>686</v>
      </c>
      <c r="D56" s="295" t="s">
        <v>151</v>
      </c>
      <c r="E56" s="300">
        <v>8220</v>
      </c>
      <c r="F56" s="301">
        <v>286.64999999999998</v>
      </c>
      <c r="G56" s="302">
        <v>5.1999999999999998E-3</v>
      </c>
      <c r="H56" s="296"/>
      <c r="I56" s="297"/>
    </row>
    <row r="57" spans="1:9" ht="12.95" customHeight="1" x14ac:dyDescent="0.2">
      <c r="A57" s="298" t="s">
        <v>754</v>
      </c>
      <c r="B57" s="299" t="s">
        <v>755</v>
      </c>
      <c r="C57" s="295" t="s">
        <v>756</v>
      </c>
      <c r="D57" s="295" t="s">
        <v>431</v>
      </c>
      <c r="E57" s="300">
        <v>28211</v>
      </c>
      <c r="F57" s="301">
        <v>286.29000000000002</v>
      </c>
      <c r="G57" s="302">
        <v>5.1999999999999998E-3</v>
      </c>
      <c r="H57" s="296"/>
      <c r="I57" s="297"/>
    </row>
    <row r="58" spans="1:9" ht="12.95" customHeight="1" x14ac:dyDescent="0.2">
      <c r="A58" s="298" t="s">
        <v>706</v>
      </c>
      <c r="B58" s="299" t="s">
        <v>707</v>
      </c>
      <c r="C58" s="295" t="s">
        <v>708</v>
      </c>
      <c r="D58" s="295" t="s">
        <v>75</v>
      </c>
      <c r="E58" s="300">
        <v>5104</v>
      </c>
      <c r="F58" s="301">
        <v>276.79000000000002</v>
      </c>
      <c r="G58" s="302">
        <v>5.0000000000000001E-3</v>
      </c>
      <c r="H58" s="296"/>
      <c r="I58" s="297"/>
    </row>
    <row r="59" spans="1:9" ht="12.95" customHeight="1" x14ac:dyDescent="0.2">
      <c r="A59" s="298" t="s">
        <v>1068</v>
      </c>
      <c r="B59" s="299" t="s">
        <v>1069</v>
      </c>
      <c r="C59" s="295" t="s">
        <v>1070</v>
      </c>
      <c r="D59" s="295" t="s">
        <v>791</v>
      </c>
      <c r="E59" s="300">
        <v>46591</v>
      </c>
      <c r="F59" s="301">
        <v>275.17</v>
      </c>
      <c r="G59" s="302">
        <v>5.0000000000000001E-3</v>
      </c>
      <c r="H59" s="296"/>
      <c r="I59" s="297"/>
    </row>
    <row r="60" spans="1:9" ht="12.95" customHeight="1" x14ac:dyDescent="0.2">
      <c r="A60" s="298" t="s">
        <v>696</v>
      </c>
      <c r="B60" s="299" t="s">
        <v>697</v>
      </c>
      <c r="C60" s="295" t="s">
        <v>698</v>
      </c>
      <c r="D60" s="295" t="s">
        <v>19</v>
      </c>
      <c r="E60" s="300">
        <v>72533</v>
      </c>
      <c r="F60" s="301">
        <v>274.72000000000003</v>
      </c>
      <c r="G60" s="302">
        <v>5.0000000000000001E-3</v>
      </c>
      <c r="H60" s="296"/>
      <c r="I60" s="297"/>
    </row>
    <row r="61" spans="1:9" ht="12.95" customHeight="1" x14ac:dyDescent="0.2">
      <c r="A61" s="298" t="s">
        <v>1071</v>
      </c>
      <c r="B61" s="299" t="s">
        <v>1072</v>
      </c>
      <c r="C61" s="295" t="s">
        <v>1073</v>
      </c>
      <c r="D61" s="295" t="s">
        <v>19</v>
      </c>
      <c r="E61" s="300">
        <v>179207</v>
      </c>
      <c r="F61" s="301">
        <v>269.58</v>
      </c>
      <c r="G61" s="302">
        <v>4.8999999999999998E-3</v>
      </c>
      <c r="H61" s="296"/>
      <c r="I61" s="297"/>
    </row>
    <row r="62" spans="1:9" ht="12.95" customHeight="1" x14ac:dyDescent="0.2">
      <c r="A62" s="298" t="s">
        <v>802</v>
      </c>
      <c r="B62" s="299" t="s">
        <v>803</v>
      </c>
      <c r="C62" s="295" t="s">
        <v>804</v>
      </c>
      <c r="D62" s="295" t="s">
        <v>41</v>
      </c>
      <c r="E62" s="300">
        <v>90741</v>
      </c>
      <c r="F62" s="301">
        <v>268.77</v>
      </c>
      <c r="G62" s="302">
        <v>4.8999999999999998E-3</v>
      </c>
      <c r="H62" s="296"/>
      <c r="I62" s="297"/>
    </row>
    <row r="63" spans="1:9" ht="12.95" customHeight="1" x14ac:dyDescent="0.2">
      <c r="A63" s="298" t="s">
        <v>1074</v>
      </c>
      <c r="B63" s="299" t="s">
        <v>1075</v>
      </c>
      <c r="C63" s="295" t="s">
        <v>1076</v>
      </c>
      <c r="D63" s="295" t="s">
        <v>117</v>
      </c>
      <c r="E63" s="300">
        <v>5852</v>
      </c>
      <c r="F63" s="301">
        <v>263.35000000000002</v>
      </c>
      <c r="G63" s="302">
        <v>4.7999999999999996E-3</v>
      </c>
      <c r="H63" s="296"/>
      <c r="I63" s="297"/>
    </row>
    <row r="64" spans="1:9" ht="12.95" customHeight="1" x14ac:dyDescent="0.2">
      <c r="A64" s="298" t="s">
        <v>1077</v>
      </c>
      <c r="B64" s="299" t="s">
        <v>1078</v>
      </c>
      <c r="C64" s="295" t="s">
        <v>1079</v>
      </c>
      <c r="D64" s="295" t="s">
        <v>702</v>
      </c>
      <c r="E64" s="300">
        <v>6379</v>
      </c>
      <c r="F64" s="301">
        <v>252.4</v>
      </c>
      <c r="G64" s="302">
        <v>4.5999999999999999E-3</v>
      </c>
      <c r="H64" s="296"/>
      <c r="I64" s="297"/>
    </row>
    <row r="65" spans="1:9" ht="12.95" customHeight="1" x14ac:dyDescent="0.2">
      <c r="A65" s="298" t="s">
        <v>814</v>
      </c>
      <c r="B65" s="299" t="s">
        <v>815</v>
      </c>
      <c r="C65" s="295" t="s">
        <v>816</v>
      </c>
      <c r="D65" s="295" t="s">
        <v>34</v>
      </c>
      <c r="E65" s="300">
        <v>18555</v>
      </c>
      <c r="F65" s="301">
        <v>251.36</v>
      </c>
      <c r="G65" s="302">
        <v>4.5999999999999999E-3</v>
      </c>
      <c r="H65" s="296"/>
      <c r="I65" s="297"/>
    </row>
    <row r="66" spans="1:9" ht="12.95" customHeight="1" x14ac:dyDescent="0.2">
      <c r="A66" s="298" t="s">
        <v>1080</v>
      </c>
      <c r="B66" s="299" t="s">
        <v>1081</v>
      </c>
      <c r="C66" s="295" t="s">
        <v>1082</v>
      </c>
      <c r="D66" s="295" t="s">
        <v>133</v>
      </c>
      <c r="E66" s="300">
        <v>87810</v>
      </c>
      <c r="F66" s="301">
        <v>246.75</v>
      </c>
      <c r="G66" s="302">
        <v>4.4999999999999997E-3</v>
      </c>
      <c r="H66" s="296"/>
      <c r="I66" s="297"/>
    </row>
    <row r="67" spans="1:9" ht="12.95" customHeight="1" x14ac:dyDescent="0.2">
      <c r="A67" s="298" t="s">
        <v>1083</v>
      </c>
      <c r="B67" s="299" t="s">
        <v>1084</v>
      </c>
      <c r="C67" s="295" t="s">
        <v>1085</v>
      </c>
      <c r="D67" s="295" t="s">
        <v>34</v>
      </c>
      <c r="E67" s="300">
        <v>63088</v>
      </c>
      <c r="F67" s="301">
        <v>239.42</v>
      </c>
      <c r="G67" s="302">
        <v>4.3E-3</v>
      </c>
      <c r="H67" s="296"/>
      <c r="I67" s="297"/>
    </row>
    <row r="68" spans="1:9" ht="12.95" customHeight="1" x14ac:dyDescent="0.2">
      <c r="A68" s="298" t="s">
        <v>432</v>
      </c>
      <c r="B68" s="299" t="s">
        <v>433</v>
      </c>
      <c r="C68" s="295" t="s">
        <v>434</v>
      </c>
      <c r="D68" s="295" t="s">
        <v>45</v>
      </c>
      <c r="E68" s="300">
        <v>123819</v>
      </c>
      <c r="F68" s="301">
        <v>232.33</v>
      </c>
      <c r="G68" s="302">
        <v>4.1999999999999997E-3</v>
      </c>
      <c r="H68" s="296"/>
      <c r="I68" s="297"/>
    </row>
    <row r="69" spans="1:9" ht="12.95" customHeight="1" x14ac:dyDescent="0.2">
      <c r="A69" s="298" t="s">
        <v>738</v>
      </c>
      <c r="B69" s="299" t="s">
        <v>739</v>
      </c>
      <c r="C69" s="295" t="s">
        <v>740</v>
      </c>
      <c r="D69" s="295" t="s">
        <v>741</v>
      </c>
      <c r="E69" s="300">
        <v>59297</v>
      </c>
      <c r="F69" s="301">
        <v>227.76</v>
      </c>
      <c r="G69" s="302">
        <v>4.1000000000000003E-3</v>
      </c>
      <c r="H69" s="296"/>
      <c r="I69" s="297"/>
    </row>
    <row r="70" spans="1:9" ht="12.95" customHeight="1" x14ac:dyDescent="0.2">
      <c r="A70" s="298" t="s">
        <v>1086</v>
      </c>
      <c r="B70" s="299" t="s">
        <v>1087</v>
      </c>
      <c r="C70" s="295" t="s">
        <v>1088</v>
      </c>
      <c r="D70" s="295" t="s">
        <v>133</v>
      </c>
      <c r="E70" s="300">
        <v>161882</v>
      </c>
      <c r="F70" s="301">
        <v>219.19</v>
      </c>
      <c r="G70" s="302">
        <v>4.0000000000000001E-3</v>
      </c>
      <c r="H70" s="296"/>
      <c r="I70" s="297"/>
    </row>
    <row r="71" spans="1:9" ht="12.95" customHeight="1" x14ac:dyDescent="0.2">
      <c r="A71" s="298" t="s">
        <v>712</v>
      </c>
      <c r="B71" s="299" t="s">
        <v>713</v>
      </c>
      <c r="C71" s="295" t="s">
        <v>714</v>
      </c>
      <c r="D71" s="295" t="s">
        <v>715</v>
      </c>
      <c r="E71" s="300">
        <v>38046</v>
      </c>
      <c r="F71" s="301">
        <v>217.22</v>
      </c>
      <c r="G71" s="302">
        <v>3.8999999999999998E-3</v>
      </c>
      <c r="H71" s="296"/>
      <c r="I71" s="297"/>
    </row>
    <row r="72" spans="1:9" ht="12.95" customHeight="1" x14ac:dyDescent="0.2">
      <c r="A72" s="298" t="s">
        <v>1089</v>
      </c>
      <c r="B72" s="299" t="s">
        <v>1090</v>
      </c>
      <c r="C72" s="295" t="s">
        <v>1091</v>
      </c>
      <c r="D72" s="295" t="s">
        <v>86</v>
      </c>
      <c r="E72" s="300">
        <v>191755</v>
      </c>
      <c r="F72" s="301">
        <v>201.5</v>
      </c>
      <c r="G72" s="302">
        <v>3.7000000000000002E-3</v>
      </c>
      <c r="H72" s="296"/>
      <c r="I72" s="297"/>
    </row>
    <row r="73" spans="1:9" ht="12.95" customHeight="1" x14ac:dyDescent="0.2">
      <c r="A73" s="298" t="s">
        <v>678</v>
      </c>
      <c r="B73" s="299" t="s">
        <v>679</v>
      </c>
      <c r="C73" s="295" t="s">
        <v>680</v>
      </c>
      <c r="D73" s="295" t="s">
        <v>15</v>
      </c>
      <c r="E73" s="300">
        <v>80382</v>
      </c>
      <c r="F73" s="301">
        <v>199.03</v>
      </c>
      <c r="G73" s="302">
        <v>3.5999999999999999E-3</v>
      </c>
      <c r="H73" s="296"/>
      <c r="I73" s="297"/>
    </row>
    <row r="74" spans="1:9" ht="12.95" customHeight="1" x14ac:dyDescent="0.2">
      <c r="A74" s="298" t="s">
        <v>1092</v>
      </c>
      <c r="B74" s="299" t="s">
        <v>1093</v>
      </c>
      <c r="C74" s="295" t="s">
        <v>1094</v>
      </c>
      <c r="D74" s="295" t="s">
        <v>1095</v>
      </c>
      <c r="E74" s="300">
        <v>11283</v>
      </c>
      <c r="F74" s="301">
        <v>198.45</v>
      </c>
      <c r="G74" s="302">
        <v>3.5999999999999999E-3</v>
      </c>
      <c r="H74" s="296"/>
      <c r="I74" s="297"/>
    </row>
    <row r="75" spans="1:9" ht="12.95" customHeight="1" x14ac:dyDescent="0.2">
      <c r="A75" s="298" t="s">
        <v>1096</v>
      </c>
      <c r="B75" s="299" t="s">
        <v>1097</v>
      </c>
      <c r="C75" s="295" t="s">
        <v>1098</v>
      </c>
      <c r="D75" s="295" t="s">
        <v>79</v>
      </c>
      <c r="E75" s="300">
        <v>8827</v>
      </c>
      <c r="F75" s="301">
        <v>195.64</v>
      </c>
      <c r="G75" s="302">
        <v>3.5999999999999999E-3</v>
      </c>
      <c r="H75" s="296"/>
      <c r="I75" s="297"/>
    </row>
    <row r="76" spans="1:9" ht="12.95" customHeight="1" x14ac:dyDescent="0.2">
      <c r="A76" s="298" t="s">
        <v>1099</v>
      </c>
      <c r="B76" s="299" t="s">
        <v>1100</v>
      </c>
      <c r="C76" s="295" t="s">
        <v>1101</v>
      </c>
      <c r="D76" s="295" t="s">
        <v>657</v>
      </c>
      <c r="E76" s="300">
        <v>29726</v>
      </c>
      <c r="F76" s="301">
        <v>194.72</v>
      </c>
      <c r="G76" s="302">
        <v>3.5000000000000001E-3</v>
      </c>
      <c r="H76" s="296"/>
      <c r="I76" s="297"/>
    </row>
    <row r="77" spans="1:9" ht="12.95" customHeight="1" x14ac:dyDescent="0.2">
      <c r="A77" s="298" t="s">
        <v>1102</v>
      </c>
      <c r="B77" s="299" t="s">
        <v>1103</v>
      </c>
      <c r="C77" s="295" t="s">
        <v>1104</v>
      </c>
      <c r="D77" s="295" t="s">
        <v>65</v>
      </c>
      <c r="E77" s="300">
        <v>4531</v>
      </c>
      <c r="F77" s="301">
        <v>191.22</v>
      </c>
      <c r="G77" s="302">
        <v>3.5000000000000001E-3</v>
      </c>
      <c r="H77" s="296"/>
      <c r="I77" s="297"/>
    </row>
    <row r="78" spans="1:9" ht="12.95" customHeight="1" x14ac:dyDescent="0.2">
      <c r="A78" s="298" t="s">
        <v>723</v>
      </c>
      <c r="B78" s="299" t="s">
        <v>724</v>
      </c>
      <c r="C78" s="295" t="s">
        <v>725</v>
      </c>
      <c r="D78" s="295" t="s">
        <v>15</v>
      </c>
      <c r="E78" s="300">
        <v>146076</v>
      </c>
      <c r="F78" s="301">
        <v>180.33</v>
      </c>
      <c r="G78" s="302">
        <v>3.3E-3</v>
      </c>
      <c r="H78" s="296"/>
      <c r="I78" s="297"/>
    </row>
    <row r="79" spans="1:9" ht="12.95" customHeight="1" x14ac:dyDescent="0.2">
      <c r="A79" s="298" t="s">
        <v>805</v>
      </c>
      <c r="B79" s="299" t="s">
        <v>806</v>
      </c>
      <c r="C79" s="295" t="s">
        <v>807</v>
      </c>
      <c r="D79" s="295" t="s">
        <v>653</v>
      </c>
      <c r="E79" s="300">
        <v>16046</v>
      </c>
      <c r="F79" s="301">
        <v>178.61</v>
      </c>
      <c r="G79" s="302">
        <v>3.2000000000000002E-3</v>
      </c>
      <c r="H79" s="296"/>
      <c r="I79" s="297"/>
    </row>
    <row r="80" spans="1:9" ht="12.95" customHeight="1" x14ac:dyDescent="0.2">
      <c r="A80" s="298" t="s">
        <v>1105</v>
      </c>
      <c r="B80" s="299" t="s">
        <v>1106</v>
      </c>
      <c r="C80" s="295" t="s">
        <v>1107</v>
      </c>
      <c r="D80" s="295" t="s">
        <v>1108</v>
      </c>
      <c r="E80" s="300">
        <v>13437</v>
      </c>
      <c r="F80" s="301">
        <v>172.67</v>
      </c>
      <c r="G80" s="302">
        <v>3.0999999999999999E-3</v>
      </c>
      <c r="H80" s="296"/>
      <c r="I80" s="297"/>
    </row>
    <row r="81" spans="1:9" ht="12.95" customHeight="1" x14ac:dyDescent="0.2">
      <c r="A81" s="298" t="s">
        <v>1109</v>
      </c>
      <c r="B81" s="299" t="s">
        <v>1110</v>
      </c>
      <c r="C81" s="295" t="s">
        <v>1111</v>
      </c>
      <c r="D81" s="295" t="s">
        <v>798</v>
      </c>
      <c r="E81" s="300">
        <v>17428</v>
      </c>
      <c r="F81" s="301">
        <v>171.63</v>
      </c>
      <c r="G81" s="302">
        <v>3.0999999999999999E-3</v>
      </c>
      <c r="H81" s="296"/>
      <c r="I81" s="297"/>
    </row>
    <row r="82" spans="1:9" ht="12.95" customHeight="1" x14ac:dyDescent="0.2">
      <c r="A82" s="298" t="s">
        <v>451</v>
      </c>
      <c r="B82" s="299" t="s">
        <v>452</v>
      </c>
      <c r="C82" s="295" t="s">
        <v>453</v>
      </c>
      <c r="D82" s="295" t="s">
        <v>34</v>
      </c>
      <c r="E82" s="300">
        <v>54117</v>
      </c>
      <c r="F82" s="301">
        <v>165.11</v>
      </c>
      <c r="G82" s="302">
        <v>3.0000000000000001E-3</v>
      </c>
      <c r="H82" s="296"/>
      <c r="I82" s="297"/>
    </row>
    <row r="83" spans="1:9" ht="12.95" customHeight="1" x14ac:dyDescent="0.2">
      <c r="A83" s="298" t="s">
        <v>31</v>
      </c>
      <c r="B83" s="299" t="s">
        <v>32</v>
      </c>
      <c r="C83" s="295" t="s">
        <v>33</v>
      </c>
      <c r="D83" s="295" t="s">
        <v>34</v>
      </c>
      <c r="E83" s="300">
        <v>1875</v>
      </c>
      <c r="F83" s="301">
        <v>163.99</v>
      </c>
      <c r="G83" s="302">
        <v>3.0000000000000001E-3</v>
      </c>
      <c r="H83" s="296"/>
      <c r="I83" s="297"/>
    </row>
    <row r="84" spans="1:9" ht="12.95" customHeight="1" x14ac:dyDescent="0.2">
      <c r="A84" s="298" t="s">
        <v>1112</v>
      </c>
      <c r="B84" s="299" t="s">
        <v>1113</v>
      </c>
      <c r="C84" s="295" t="s">
        <v>1114</v>
      </c>
      <c r="D84" s="295" t="s">
        <v>45</v>
      </c>
      <c r="E84" s="300">
        <v>4020</v>
      </c>
      <c r="F84" s="301">
        <v>161.35</v>
      </c>
      <c r="G84" s="302">
        <v>2.8999999999999998E-3</v>
      </c>
      <c r="H84" s="296"/>
      <c r="I84" s="297"/>
    </row>
    <row r="85" spans="1:9" ht="12.95" customHeight="1" x14ac:dyDescent="0.2">
      <c r="A85" s="298" t="s">
        <v>779</v>
      </c>
      <c r="B85" s="299" t="s">
        <v>780</v>
      </c>
      <c r="C85" s="295" t="s">
        <v>781</v>
      </c>
      <c r="D85" s="295" t="s">
        <v>124</v>
      </c>
      <c r="E85" s="300">
        <v>116871</v>
      </c>
      <c r="F85" s="301">
        <v>160.94</v>
      </c>
      <c r="G85" s="302">
        <v>2.8999999999999998E-3</v>
      </c>
      <c r="H85" s="296"/>
      <c r="I85" s="297"/>
    </row>
    <row r="86" spans="1:9" ht="12.95" customHeight="1" x14ac:dyDescent="0.2">
      <c r="A86" s="298" t="s">
        <v>792</v>
      </c>
      <c r="B86" s="299" t="s">
        <v>793</v>
      </c>
      <c r="C86" s="295" t="s">
        <v>794</v>
      </c>
      <c r="D86" s="295" t="s">
        <v>741</v>
      </c>
      <c r="E86" s="300">
        <v>12797</v>
      </c>
      <c r="F86" s="301">
        <v>155.97</v>
      </c>
      <c r="G86" s="302">
        <v>2.8E-3</v>
      </c>
      <c r="H86" s="296"/>
      <c r="I86" s="297"/>
    </row>
    <row r="87" spans="1:9" ht="12.95" customHeight="1" x14ac:dyDescent="0.2">
      <c r="A87" s="298" t="s">
        <v>668</v>
      </c>
      <c r="B87" s="299" t="s">
        <v>669</v>
      </c>
      <c r="C87" s="295" t="s">
        <v>670</v>
      </c>
      <c r="D87" s="295" t="s">
        <v>15</v>
      </c>
      <c r="E87" s="300">
        <v>149394</v>
      </c>
      <c r="F87" s="301">
        <v>150.22999999999999</v>
      </c>
      <c r="G87" s="302">
        <v>2.7000000000000001E-3</v>
      </c>
      <c r="H87" s="296"/>
      <c r="I87" s="297"/>
    </row>
    <row r="88" spans="1:9" ht="12.95" customHeight="1" x14ac:dyDescent="0.2">
      <c r="A88" s="298" t="s">
        <v>1115</v>
      </c>
      <c r="B88" s="299" t="s">
        <v>1116</v>
      </c>
      <c r="C88" s="295" t="s">
        <v>1117</v>
      </c>
      <c r="D88" s="295" t="s">
        <v>34</v>
      </c>
      <c r="E88" s="300">
        <v>4646</v>
      </c>
      <c r="F88" s="301">
        <v>146.82</v>
      </c>
      <c r="G88" s="302">
        <v>2.7000000000000001E-3</v>
      </c>
      <c r="H88" s="296"/>
      <c r="I88" s="297"/>
    </row>
    <row r="89" spans="1:9" ht="12.95" customHeight="1" x14ac:dyDescent="0.2">
      <c r="A89" s="298" t="s">
        <v>1118</v>
      </c>
      <c r="B89" s="299" t="s">
        <v>1119</v>
      </c>
      <c r="C89" s="295" t="s">
        <v>1120</v>
      </c>
      <c r="D89" s="295" t="s">
        <v>19</v>
      </c>
      <c r="E89" s="300">
        <v>15030</v>
      </c>
      <c r="F89" s="301">
        <v>140.52000000000001</v>
      </c>
      <c r="G89" s="302">
        <v>2.5000000000000001E-3</v>
      </c>
      <c r="H89" s="296"/>
      <c r="I89" s="297"/>
    </row>
    <row r="90" spans="1:9" ht="12.95" customHeight="1" x14ac:dyDescent="0.2">
      <c r="A90" s="298" t="s">
        <v>690</v>
      </c>
      <c r="B90" s="299" t="s">
        <v>691</v>
      </c>
      <c r="C90" s="295" t="s">
        <v>692</v>
      </c>
      <c r="D90" s="295" t="s">
        <v>156</v>
      </c>
      <c r="E90" s="300">
        <v>27794</v>
      </c>
      <c r="F90" s="301">
        <v>140.11000000000001</v>
      </c>
      <c r="G90" s="302">
        <v>2.5000000000000001E-3</v>
      </c>
      <c r="H90" s="296"/>
      <c r="I90" s="297"/>
    </row>
    <row r="91" spans="1:9" ht="12.95" customHeight="1" x14ac:dyDescent="0.2">
      <c r="A91" s="298" t="s">
        <v>1121</v>
      </c>
      <c r="B91" s="299" t="s">
        <v>1122</v>
      </c>
      <c r="C91" s="295" t="s">
        <v>1123</v>
      </c>
      <c r="D91" s="295" t="s">
        <v>15</v>
      </c>
      <c r="E91" s="300">
        <v>83722</v>
      </c>
      <c r="F91" s="301">
        <v>137.47</v>
      </c>
      <c r="G91" s="302">
        <v>2.5000000000000001E-3</v>
      </c>
      <c r="H91" s="296"/>
      <c r="I91" s="297"/>
    </row>
    <row r="92" spans="1:9" ht="12.95" customHeight="1" x14ac:dyDescent="0.2">
      <c r="A92" s="298" t="s">
        <v>1124</v>
      </c>
      <c r="B92" s="299" t="s">
        <v>1125</v>
      </c>
      <c r="C92" s="295" t="s">
        <v>1126</v>
      </c>
      <c r="D92" s="295" t="s">
        <v>657</v>
      </c>
      <c r="E92" s="300">
        <v>2272</v>
      </c>
      <c r="F92" s="301">
        <v>134.99</v>
      </c>
      <c r="G92" s="302">
        <v>2.3999999999999998E-3</v>
      </c>
      <c r="H92" s="296"/>
      <c r="I92" s="297"/>
    </row>
    <row r="93" spans="1:9" ht="12.95" customHeight="1" x14ac:dyDescent="0.2">
      <c r="A93" s="298" t="s">
        <v>1127</v>
      </c>
      <c r="B93" s="299" t="s">
        <v>1128</v>
      </c>
      <c r="C93" s="295" t="s">
        <v>1129</v>
      </c>
      <c r="D93" s="295" t="s">
        <v>461</v>
      </c>
      <c r="E93" s="300">
        <v>579</v>
      </c>
      <c r="F93" s="301">
        <v>133.29</v>
      </c>
      <c r="G93" s="302">
        <v>2.3999999999999998E-3</v>
      </c>
      <c r="H93" s="296"/>
      <c r="I93" s="297"/>
    </row>
    <row r="94" spans="1:9" ht="12.95" customHeight="1" x14ac:dyDescent="0.2">
      <c r="A94" s="298" t="s">
        <v>1130</v>
      </c>
      <c r="B94" s="299" t="s">
        <v>1131</v>
      </c>
      <c r="C94" s="295" t="s">
        <v>1132</v>
      </c>
      <c r="D94" s="295" t="s">
        <v>1108</v>
      </c>
      <c r="E94" s="300">
        <v>1055</v>
      </c>
      <c r="F94" s="301">
        <v>127.4</v>
      </c>
      <c r="G94" s="302">
        <v>2.3E-3</v>
      </c>
      <c r="H94" s="296"/>
      <c r="I94" s="297"/>
    </row>
    <row r="95" spans="1:9" ht="12.95" customHeight="1" x14ac:dyDescent="0.2">
      <c r="A95" s="298" t="s">
        <v>1133</v>
      </c>
      <c r="B95" s="299" t="s">
        <v>1134</v>
      </c>
      <c r="C95" s="295" t="s">
        <v>1135</v>
      </c>
      <c r="D95" s="295" t="s">
        <v>19</v>
      </c>
      <c r="E95" s="300">
        <v>14525</v>
      </c>
      <c r="F95" s="301">
        <v>117.2</v>
      </c>
      <c r="G95" s="302">
        <v>2.0999999999999999E-3</v>
      </c>
      <c r="H95" s="296"/>
      <c r="I95" s="297"/>
    </row>
    <row r="96" spans="1:9" ht="12.95" customHeight="1" x14ac:dyDescent="0.2">
      <c r="A96" s="298" t="s">
        <v>1136</v>
      </c>
      <c r="B96" s="299" t="s">
        <v>1137</v>
      </c>
      <c r="C96" s="295" t="s">
        <v>1138</v>
      </c>
      <c r="D96" s="295" t="s">
        <v>657</v>
      </c>
      <c r="E96" s="300">
        <v>3829</v>
      </c>
      <c r="F96" s="301">
        <v>112.38</v>
      </c>
      <c r="G96" s="302">
        <v>2E-3</v>
      </c>
      <c r="H96" s="296"/>
      <c r="I96" s="297"/>
    </row>
    <row r="97" spans="1:9" ht="12.95" customHeight="1" x14ac:dyDescent="0.2">
      <c r="A97" s="298" t="s">
        <v>1139</v>
      </c>
      <c r="B97" s="299" t="s">
        <v>1140</v>
      </c>
      <c r="C97" s="295" t="s">
        <v>1141</v>
      </c>
      <c r="D97" s="295" t="s">
        <v>41</v>
      </c>
      <c r="E97" s="300">
        <v>6177</v>
      </c>
      <c r="F97" s="301">
        <v>109.83</v>
      </c>
      <c r="G97" s="302">
        <v>2E-3</v>
      </c>
      <c r="H97" s="296"/>
      <c r="I97" s="297"/>
    </row>
    <row r="98" spans="1:9" ht="12.95" customHeight="1" x14ac:dyDescent="0.2">
      <c r="A98" s="298" t="s">
        <v>1142</v>
      </c>
      <c r="B98" s="299" t="s">
        <v>1143</v>
      </c>
      <c r="C98" s="295" t="s">
        <v>1144</v>
      </c>
      <c r="D98" s="295" t="s">
        <v>86</v>
      </c>
      <c r="E98" s="300">
        <v>375</v>
      </c>
      <c r="F98" s="301">
        <v>107.79</v>
      </c>
      <c r="G98" s="302">
        <v>2E-3</v>
      </c>
      <c r="H98" s="296"/>
      <c r="I98" s="297"/>
    </row>
    <row r="99" spans="1:9" ht="12.95" customHeight="1" x14ac:dyDescent="0.2">
      <c r="A99" s="298" t="s">
        <v>1145</v>
      </c>
      <c r="B99" s="299" t="s">
        <v>1146</v>
      </c>
      <c r="C99" s="295" t="s">
        <v>1147</v>
      </c>
      <c r="D99" s="295" t="s">
        <v>657</v>
      </c>
      <c r="E99" s="300">
        <v>3831</v>
      </c>
      <c r="F99" s="301">
        <v>98.28</v>
      </c>
      <c r="G99" s="302">
        <v>1.8E-3</v>
      </c>
      <c r="H99" s="296"/>
      <c r="I99" s="297"/>
    </row>
    <row r="100" spans="1:9" ht="12.95" customHeight="1" x14ac:dyDescent="0.2">
      <c r="A100" s="298" t="s">
        <v>66</v>
      </c>
      <c r="B100" s="299" t="s">
        <v>67</v>
      </c>
      <c r="C100" s="295" t="s">
        <v>68</v>
      </c>
      <c r="D100" s="295" t="s">
        <v>65</v>
      </c>
      <c r="E100" s="300">
        <v>10838</v>
      </c>
      <c r="F100" s="301">
        <v>94.42</v>
      </c>
      <c r="G100" s="302">
        <v>1.6999999999999999E-3</v>
      </c>
      <c r="H100" s="296"/>
      <c r="I100" s="297"/>
    </row>
    <row r="101" spans="1:9" ht="12.95" customHeight="1" x14ac:dyDescent="0.2">
      <c r="A101" s="298" t="s">
        <v>1148</v>
      </c>
      <c r="B101" s="299" t="s">
        <v>1149</v>
      </c>
      <c r="C101" s="295" t="s">
        <v>1150</v>
      </c>
      <c r="D101" s="295" t="s">
        <v>144</v>
      </c>
      <c r="E101" s="300">
        <v>18782</v>
      </c>
      <c r="F101" s="301">
        <v>94.31</v>
      </c>
      <c r="G101" s="302">
        <v>1.6999999999999999E-3</v>
      </c>
      <c r="H101" s="296"/>
      <c r="I101" s="297"/>
    </row>
    <row r="102" spans="1:9" ht="12.95" customHeight="1" x14ac:dyDescent="0.2">
      <c r="A102" s="298" t="s">
        <v>776</v>
      </c>
      <c r="B102" s="299" t="s">
        <v>777</v>
      </c>
      <c r="C102" s="295" t="s">
        <v>778</v>
      </c>
      <c r="D102" s="295" t="s">
        <v>156</v>
      </c>
      <c r="E102" s="300">
        <v>12199</v>
      </c>
      <c r="F102" s="301">
        <v>82.59</v>
      </c>
      <c r="G102" s="302">
        <v>1.5E-3</v>
      </c>
      <c r="H102" s="296"/>
      <c r="I102" s="297"/>
    </row>
    <row r="103" spans="1:9" ht="12.95" customHeight="1" x14ac:dyDescent="0.2">
      <c r="A103" s="298" t="s">
        <v>1154</v>
      </c>
      <c r="B103" s="299" t="s">
        <v>1155</v>
      </c>
      <c r="C103" s="295" t="s">
        <v>1156</v>
      </c>
      <c r="D103" s="295" t="s">
        <v>34</v>
      </c>
      <c r="E103" s="300">
        <v>87152</v>
      </c>
      <c r="F103" s="301">
        <v>76.02</v>
      </c>
      <c r="G103" s="302">
        <v>1.4E-3</v>
      </c>
      <c r="H103" s="296"/>
      <c r="I103" s="297"/>
    </row>
    <row r="104" spans="1:9" ht="12.95" customHeight="1" x14ac:dyDescent="0.2">
      <c r="A104" s="298" t="s">
        <v>1157</v>
      </c>
      <c r="B104" s="299" t="s">
        <v>1158</v>
      </c>
      <c r="C104" s="295" t="s">
        <v>1159</v>
      </c>
      <c r="D104" s="295" t="s">
        <v>1160</v>
      </c>
      <c r="E104" s="300">
        <v>3291</v>
      </c>
      <c r="F104" s="301">
        <v>67.97</v>
      </c>
      <c r="G104" s="302">
        <v>1.1999999999999999E-3</v>
      </c>
      <c r="H104" s="296"/>
      <c r="I104" s="297"/>
    </row>
    <row r="105" spans="1:9" ht="12.95" customHeight="1" x14ac:dyDescent="0.2">
      <c r="A105" s="298" t="s">
        <v>1161</v>
      </c>
      <c r="B105" s="299" t="s">
        <v>1162</v>
      </c>
      <c r="C105" s="295" t="s">
        <v>1163</v>
      </c>
      <c r="D105" s="295" t="s">
        <v>34</v>
      </c>
      <c r="E105" s="300">
        <v>18715</v>
      </c>
      <c r="F105" s="301">
        <v>57.08</v>
      </c>
      <c r="G105" s="302">
        <v>1E-3</v>
      </c>
      <c r="H105" s="296"/>
      <c r="I105" s="297"/>
    </row>
    <row r="106" spans="1:9" ht="12.95" customHeight="1" x14ac:dyDescent="0.2">
      <c r="A106" s="298" t="s">
        <v>1164</v>
      </c>
      <c r="B106" s="299" t="s">
        <v>1165</v>
      </c>
      <c r="C106" s="295" t="s">
        <v>1166</v>
      </c>
      <c r="D106" s="295" t="s">
        <v>461</v>
      </c>
      <c r="E106" s="300">
        <v>7061</v>
      </c>
      <c r="F106" s="301">
        <v>28.33</v>
      </c>
      <c r="G106" s="302">
        <v>5.0000000000000001E-4</v>
      </c>
      <c r="H106" s="296"/>
      <c r="I106" s="297"/>
    </row>
    <row r="107" spans="1:9" ht="12.95" customHeight="1" x14ac:dyDescent="0.2">
      <c r="A107" s="298" t="s">
        <v>1167</v>
      </c>
      <c r="B107" s="299" t="s">
        <v>1168</v>
      </c>
      <c r="C107" s="295" t="s">
        <v>1169</v>
      </c>
      <c r="D107" s="295" t="s">
        <v>791</v>
      </c>
      <c r="E107" s="300">
        <v>687</v>
      </c>
      <c r="F107" s="301">
        <v>11.75</v>
      </c>
      <c r="G107" s="302">
        <v>2.0000000000000001E-4</v>
      </c>
      <c r="H107" s="296"/>
      <c r="I107" s="297"/>
    </row>
    <row r="108" spans="1:9" ht="12.95" customHeight="1" x14ac:dyDescent="0.2">
      <c r="A108" s="298" t="s">
        <v>1170</v>
      </c>
      <c r="B108" s="299" t="s">
        <v>1171</v>
      </c>
      <c r="C108" s="295" t="s">
        <v>1172</v>
      </c>
      <c r="D108" s="295" t="s">
        <v>702</v>
      </c>
      <c r="E108" s="300">
        <v>1103</v>
      </c>
      <c r="F108" s="301">
        <v>10.67</v>
      </c>
      <c r="G108" s="302">
        <v>2.0000000000000001E-4</v>
      </c>
      <c r="H108" s="296"/>
      <c r="I108" s="297"/>
    </row>
    <row r="109" spans="1:9" ht="12.95" customHeight="1" x14ac:dyDescent="0.2">
      <c r="A109" s="298" t="s">
        <v>1173</v>
      </c>
      <c r="B109" s="299" t="s">
        <v>1174</v>
      </c>
      <c r="C109" s="295" t="s">
        <v>1175</v>
      </c>
      <c r="D109" s="295" t="s">
        <v>137</v>
      </c>
      <c r="E109" s="300">
        <v>716</v>
      </c>
      <c r="F109" s="301">
        <v>8.52</v>
      </c>
      <c r="G109" s="302">
        <v>2.0000000000000001E-4</v>
      </c>
      <c r="H109" s="296"/>
      <c r="I109" s="297"/>
    </row>
    <row r="110" spans="1:9" ht="12.95" customHeight="1" x14ac:dyDescent="0.2">
      <c r="A110" s="298" t="s">
        <v>748</v>
      </c>
      <c r="B110" s="299" t="s">
        <v>749</v>
      </c>
      <c r="C110" s="295" t="s">
        <v>750</v>
      </c>
      <c r="D110" s="295" t="s">
        <v>19</v>
      </c>
      <c r="E110" s="300">
        <v>1523</v>
      </c>
      <c r="F110" s="301">
        <v>7.18</v>
      </c>
      <c r="G110" s="302">
        <v>1E-4</v>
      </c>
      <c r="H110" s="296"/>
      <c r="I110" s="297"/>
    </row>
    <row r="111" spans="1:9" ht="12.95" customHeight="1" x14ac:dyDescent="0.2">
      <c r="A111" s="298" t="s">
        <v>1176</v>
      </c>
      <c r="B111" s="299" t="s">
        <v>1177</v>
      </c>
      <c r="C111" s="295" t="s">
        <v>1178</v>
      </c>
      <c r="D111" s="295" t="s">
        <v>791</v>
      </c>
      <c r="E111" s="300">
        <v>630</v>
      </c>
      <c r="F111" s="301">
        <v>4.57</v>
      </c>
      <c r="G111" s="302">
        <v>1E-4</v>
      </c>
      <c r="H111" s="296"/>
      <c r="I111" s="297"/>
    </row>
    <row r="112" spans="1:9" ht="12.95" customHeight="1" x14ac:dyDescent="0.2">
      <c r="A112" s="298" t="s">
        <v>1179</v>
      </c>
      <c r="B112" s="299" t="s">
        <v>1180</v>
      </c>
      <c r="C112" s="295" t="s">
        <v>1181</v>
      </c>
      <c r="D112" s="295" t="s">
        <v>34</v>
      </c>
      <c r="E112" s="300">
        <v>2657</v>
      </c>
      <c r="F112" s="301">
        <v>1.94</v>
      </c>
      <c r="G112" s="302" t="s">
        <v>1256</v>
      </c>
      <c r="H112" s="296"/>
      <c r="I112" s="297"/>
    </row>
    <row r="113" spans="1:9" ht="12.95" customHeight="1" x14ac:dyDescent="0.2">
      <c r="A113" s="298"/>
      <c r="B113" s="294" t="s">
        <v>1182</v>
      </c>
      <c r="C113" s="295"/>
      <c r="D113" s="295"/>
      <c r="E113" s="300"/>
      <c r="F113" s="416"/>
      <c r="G113" s="302"/>
      <c r="H113" s="296"/>
      <c r="I113" s="297"/>
    </row>
    <row r="114" spans="1:9" ht="12.95" customHeight="1" x14ac:dyDescent="0.2">
      <c r="A114" s="298" t="s">
        <v>1151</v>
      </c>
      <c r="B114" s="299" t="s">
        <v>1152</v>
      </c>
      <c r="C114" s="295" t="s">
        <v>1153</v>
      </c>
      <c r="D114" s="295" t="s">
        <v>461</v>
      </c>
      <c r="E114" s="300">
        <v>62991</v>
      </c>
      <c r="F114" s="301">
        <v>77.41</v>
      </c>
      <c r="G114" s="302">
        <v>1.4E-3</v>
      </c>
      <c r="H114" s="296"/>
      <c r="I114" s="297"/>
    </row>
    <row r="115" spans="1:9" ht="12.95" customHeight="1" x14ac:dyDescent="0.2">
      <c r="A115" s="284"/>
      <c r="B115" s="303" t="s">
        <v>128</v>
      </c>
      <c r="C115" s="304"/>
      <c r="D115" s="304"/>
      <c r="E115" s="304"/>
      <c r="F115" s="305">
        <v>53655.16</v>
      </c>
      <c r="G115" s="306">
        <v>0.97319999999999995</v>
      </c>
      <c r="H115" s="307"/>
      <c r="I115" s="308"/>
    </row>
    <row r="116" spans="1:9" ht="12.95" customHeight="1" x14ac:dyDescent="0.2">
      <c r="A116" s="284"/>
      <c r="B116" s="303" t="s">
        <v>823</v>
      </c>
      <c r="C116" s="304"/>
      <c r="D116" s="304"/>
      <c r="E116" s="304"/>
      <c r="F116" s="307" t="s">
        <v>164</v>
      </c>
      <c r="G116" s="307" t="s">
        <v>164</v>
      </c>
      <c r="H116" s="307"/>
      <c r="I116" s="308"/>
    </row>
    <row r="117" spans="1:9" ht="12.95" customHeight="1" x14ac:dyDescent="0.2">
      <c r="A117" s="284"/>
      <c r="B117" s="303" t="s">
        <v>128</v>
      </c>
      <c r="C117" s="304"/>
      <c r="D117" s="304"/>
      <c r="E117" s="304"/>
      <c r="F117" s="307" t="s">
        <v>164</v>
      </c>
      <c r="G117" s="307" t="s">
        <v>164</v>
      </c>
      <c r="H117" s="307"/>
      <c r="I117" s="308"/>
    </row>
    <row r="118" spans="1:9" ht="12.95" customHeight="1" x14ac:dyDescent="0.2">
      <c r="A118" s="284"/>
      <c r="B118" s="303" t="s">
        <v>165</v>
      </c>
      <c r="C118" s="309"/>
      <c r="D118" s="304"/>
      <c r="E118" s="309"/>
      <c r="F118" s="305">
        <v>53655.16</v>
      </c>
      <c r="G118" s="306">
        <v>0.97319999999999995</v>
      </c>
      <c r="H118" s="307"/>
      <c r="I118" s="308"/>
    </row>
    <row r="119" spans="1:9" ht="12.95" customHeight="1" x14ac:dyDescent="0.2">
      <c r="A119" s="284"/>
      <c r="B119" s="294" t="s">
        <v>342</v>
      </c>
      <c r="C119" s="295"/>
      <c r="D119" s="295"/>
      <c r="E119" s="295"/>
      <c r="F119" s="295"/>
      <c r="G119" s="295"/>
      <c r="H119" s="296"/>
      <c r="I119" s="297"/>
    </row>
    <row r="120" spans="1:9" ht="12.95" customHeight="1" x14ac:dyDescent="0.2">
      <c r="A120" s="284"/>
      <c r="B120" s="294" t="s">
        <v>343</v>
      </c>
      <c r="C120" s="295"/>
      <c r="D120" s="295"/>
      <c r="E120" s="295"/>
      <c r="F120" s="284"/>
      <c r="G120" s="296"/>
      <c r="H120" s="296"/>
      <c r="I120" s="297"/>
    </row>
    <row r="121" spans="1:9" ht="12.95" customHeight="1" x14ac:dyDescent="0.2">
      <c r="A121" s="298" t="s">
        <v>344</v>
      </c>
      <c r="B121" s="299" t="s">
        <v>345</v>
      </c>
      <c r="C121" s="295" t="s">
        <v>346</v>
      </c>
      <c r="D121" s="295" t="s">
        <v>183</v>
      </c>
      <c r="E121" s="300">
        <v>16488.226999999999</v>
      </c>
      <c r="F121" s="301">
        <v>251.19</v>
      </c>
      <c r="G121" s="302">
        <v>4.5999999999999999E-3</v>
      </c>
      <c r="H121" s="296"/>
      <c r="I121" s="297"/>
    </row>
    <row r="122" spans="1:9" ht="12.95" customHeight="1" x14ac:dyDescent="0.2">
      <c r="A122" s="284"/>
      <c r="B122" s="303" t="s">
        <v>128</v>
      </c>
      <c r="C122" s="304"/>
      <c r="D122" s="304"/>
      <c r="E122" s="304"/>
      <c r="F122" s="305">
        <v>251.19</v>
      </c>
      <c r="G122" s="306">
        <v>4.5999999999999999E-3</v>
      </c>
      <c r="H122" s="307"/>
      <c r="I122" s="308"/>
    </row>
    <row r="123" spans="1:9" ht="12.95" customHeight="1" x14ac:dyDescent="0.2">
      <c r="A123" s="284"/>
      <c r="B123" s="303" t="s">
        <v>350</v>
      </c>
      <c r="C123" s="295"/>
      <c r="D123" s="304"/>
      <c r="E123" s="295"/>
      <c r="F123" s="311">
        <v>1201.450000000003</v>
      </c>
      <c r="G123" s="306">
        <v>2.2200000000000001E-2</v>
      </c>
      <c r="H123" s="307"/>
      <c r="I123" s="308"/>
    </row>
    <row r="124" spans="1:9" ht="12.95" customHeight="1" x14ac:dyDescent="0.2">
      <c r="A124" s="284"/>
      <c r="B124" s="312" t="s">
        <v>351</v>
      </c>
      <c r="C124" s="313"/>
      <c r="D124" s="313"/>
      <c r="E124" s="313"/>
      <c r="F124" s="314">
        <v>55107.8</v>
      </c>
      <c r="G124" s="315">
        <v>1</v>
      </c>
      <c r="H124" s="316"/>
      <c r="I124" s="317"/>
    </row>
    <row r="125" spans="1:9" ht="12.95" customHeight="1" x14ac:dyDescent="0.2">
      <c r="A125" s="284"/>
      <c r="B125" s="288"/>
      <c r="C125" s="284"/>
      <c r="D125" s="284"/>
      <c r="E125" s="284"/>
      <c r="F125" s="284"/>
      <c r="G125" s="284"/>
      <c r="H125" s="284"/>
      <c r="I125" s="284"/>
    </row>
    <row r="126" spans="1:9" x14ac:dyDescent="0.2">
      <c r="B126" s="286" t="s">
        <v>1252</v>
      </c>
    </row>
    <row r="127" spans="1:9" x14ac:dyDescent="0.2">
      <c r="B127" s="286" t="s">
        <v>1253</v>
      </c>
    </row>
    <row r="128" spans="1:9" x14ac:dyDescent="0.2">
      <c r="B128" s="286" t="s">
        <v>1254</v>
      </c>
      <c r="F128" s="417"/>
    </row>
    <row r="129" spans="2:8" x14ac:dyDescent="0.2">
      <c r="B129" s="286" t="s">
        <v>1255</v>
      </c>
    </row>
    <row r="130" spans="2:8" x14ac:dyDescent="0.2">
      <c r="F130" s="417"/>
      <c r="G130" s="417"/>
    </row>
    <row r="131" spans="2:8" x14ac:dyDescent="0.2">
      <c r="B131" s="418" t="s">
        <v>1420</v>
      </c>
      <c r="C131" s="419"/>
      <c r="D131" s="420"/>
      <c r="E131" s="325"/>
      <c r="F131" s="421"/>
      <c r="G131" s="422"/>
      <c r="H131" s="423"/>
    </row>
    <row r="132" spans="2:8" x14ac:dyDescent="0.2">
      <c r="B132" s="424" t="s">
        <v>1421</v>
      </c>
      <c r="C132" s="343"/>
      <c r="D132" s="336"/>
      <c r="E132" s="336"/>
      <c r="F132" s="343"/>
      <c r="H132" s="425"/>
    </row>
    <row r="133" spans="2:8" ht="36" x14ac:dyDescent="0.2">
      <c r="B133" s="455" t="s">
        <v>1422</v>
      </c>
      <c r="C133" s="456" t="s">
        <v>1423</v>
      </c>
      <c r="D133" s="427" t="s">
        <v>1424</v>
      </c>
      <c r="E133" s="427" t="s">
        <v>1424</v>
      </c>
      <c r="F133" s="427" t="s">
        <v>1425</v>
      </c>
      <c r="H133" s="425"/>
    </row>
    <row r="134" spans="2:8" x14ac:dyDescent="0.2">
      <c r="B134" s="455"/>
      <c r="C134" s="456"/>
      <c r="D134" s="427" t="s">
        <v>1426</v>
      </c>
      <c r="E134" s="427" t="s">
        <v>1427</v>
      </c>
      <c r="F134" s="427" t="s">
        <v>1426</v>
      </c>
      <c r="H134" s="425"/>
    </row>
    <row r="135" spans="2:8" x14ac:dyDescent="0.2">
      <c r="B135" s="426" t="s">
        <v>164</v>
      </c>
      <c r="C135" s="426" t="s">
        <v>164</v>
      </c>
      <c r="D135" s="426" t="s">
        <v>164</v>
      </c>
      <c r="E135" s="426" t="s">
        <v>164</v>
      </c>
      <c r="F135" s="426" t="s">
        <v>164</v>
      </c>
      <c r="H135" s="425"/>
    </row>
    <row r="136" spans="2:8" x14ac:dyDescent="0.2">
      <c r="B136" s="428"/>
      <c r="C136" s="429"/>
      <c r="D136" s="429"/>
      <c r="E136" s="429"/>
      <c r="F136" s="429"/>
      <c r="H136" s="425"/>
    </row>
    <row r="137" spans="2:8" x14ac:dyDescent="0.2">
      <c r="B137" s="430" t="s">
        <v>1493</v>
      </c>
      <c r="C137" s="343"/>
      <c r="D137" s="431"/>
      <c r="E137" s="343"/>
      <c r="F137" s="343"/>
      <c r="H137" s="425"/>
    </row>
    <row r="138" spans="2:8" x14ac:dyDescent="0.2">
      <c r="B138" s="432" t="s">
        <v>1494</v>
      </c>
      <c r="C138" s="342">
        <v>46080</v>
      </c>
      <c r="D138" s="342">
        <v>46112</v>
      </c>
      <c r="E138" s="433"/>
      <c r="F138" s="343"/>
      <c r="H138" s="425"/>
    </row>
    <row r="139" spans="2:8" x14ac:dyDescent="0.2">
      <c r="B139" s="434" t="s">
        <v>1495</v>
      </c>
      <c r="C139" s="432"/>
      <c r="D139" s="432"/>
      <c r="E139" s="343"/>
      <c r="F139" s="343"/>
      <c r="H139" s="425"/>
    </row>
    <row r="140" spans="2:8" x14ac:dyDescent="0.2">
      <c r="B140" s="432" t="s">
        <v>1629</v>
      </c>
      <c r="C140" s="344">
        <v>9.8535000000000004</v>
      </c>
      <c r="D140" s="344">
        <v>8.7152999999999992</v>
      </c>
      <c r="E140" s="343"/>
      <c r="F140" s="435"/>
      <c r="H140" s="425"/>
    </row>
    <row r="141" spans="2:8" x14ac:dyDescent="0.2">
      <c r="B141" s="432" t="s">
        <v>1630</v>
      </c>
      <c r="C141" s="344">
        <v>9.8535000000000004</v>
      </c>
      <c r="D141" s="344">
        <v>8.7152999999999992</v>
      </c>
      <c r="E141" s="343"/>
      <c r="F141" s="436"/>
      <c r="H141" s="425"/>
    </row>
    <row r="142" spans="2:8" x14ac:dyDescent="0.2">
      <c r="B142" s="434" t="s">
        <v>1500</v>
      </c>
      <c r="C142" s="344"/>
      <c r="D142" s="344"/>
      <c r="E142" s="343"/>
      <c r="F142" s="435"/>
      <c r="H142" s="425"/>
    </row>
    <row r="143" spans="2:8" x14ac:dyDescent="0.2">
      <c r="B143" s="432" t="s">
        <v>1631</v>
      </c>
      <c r="C143" s="344">
        <v>9.8510000000000009</v>
      </c>
      <c r="D143" s="344">
        <v>8.7101000000000006</v>
      </c>
      <c r="E143" s="343"/>
      <c r="F143" s="436"/>
      <c r="H143" s="425"/>
    </row>
    <row r="144" spans="2:8" x14ac:dyDescent="0.2">
      <c r="B144" s="432" t="s">
        <v>1632</v>
      </c>
      <c r="C144" s="344">
        <v>9.8508999999999993</v>
      </c>
      <c r="D144" s="344">
        <v>8.7100000000000009</v>
      </c>
      <c r="E144" s="343"/>
      <c r="F144" s="435"/>
      <c r="H144" s="425"/>
    </row>
    <row r="145" spans="2:8" x14ac:dyDescent="0.2">
      <c r="B145" s="424"/>
      <c r="C145" s="343"/>
      <c r="D145" s="343"/>
      <c r="E145" s="343"/>
      <c r="F145" s="343"/>
      <c r="H145" s="425"/>
    </row>
    <row r="146" spans="2:8" x14ac:dyDescent="0.2">
      <c r="B146" s="430" t="s">
        <v>1699</v>
      </c>
      <c r="C146" s="437"/>
      <c r="D146" s="437"/>
      <c r="E146" s="437"/>
      <c r="F146" s="343"/>
      <c r="H146" s="425"/>
    </row>
    <row r="147" spans="2:8" x14ac:dyDescent="0.2">
      <c r="B147" s="438"/>
      <c r="C147" s="439"/>
      <c r="D147" s="331"/>
      <c r="E147" s="331"/>
      <c r="F147" s="331"/>
      <c r="H147" s="425"/>
    </row>
    <row r="148" spans="2:8" x14ac:dyDescent="0.2">
      <c r="B148" s="430" t="s">
        <v>1658</v>
      </c>
      <c r="C148" s="437"/>
      <c r="D148" s="437"/>
      <c r="E148" s="437"/>
      <c r="F148" s="343"/>
      <c r="H148" s="425"/>
    </row>
    <row r="149" spans="2:8" x14ac:dyDescent="0.2">
      <c r="B149" s="430"/>
      <c r="C149" s="437"/>
      <c r="D149" s="437"/>
      <c r="E149" s="437"/>
      <c r="F149" s="343"/>
      <c r="H149" s="425"/>
    </row>
    <row r="150" spans="2:8" x14ac:dyDescent="0.2">
      <c r="B150" s="430" t="s">
        <v>1700</v>
      </c>
      <c r="C150" s="437"/>
      <c r="D150" s="440"/>
      <c r="E150" s="437"/>
      <c r="F150" s="343"/>
      <c r="H150" s="425"/>
    </row>
    <row r="151" spans="2:8" x14ac:dyDescent="0.2">
      <c r="B151" s="349" t="s">
        <v>1435</v>
      </c>
      <c r="C151" s="437"/>
      <c r="D151" s="437"/>
      <c r="E151" s="437"/>
      <c r="F151" s="343"/>
      <c r="H151" s="425"/>
    </row>
    <row r="152" spans="2:8" x14ac:dyDescent="0.2">
      <c r="B152" s="349"/>
      <c r="C152" s="437"/>
      <c r="D152" s="437"/>
      <c r="E152" s="437"/>
      <c r="F152" s="343"/>
      <c r="H152" s="425"/>
    </row>
    <row r="153" spans="2:8" x14ac:dyDescent="0.2">
      <c r="B153" s="430" t="s">
        <v>1660</v>
      </c>
      <c r="C153" s="437"/>
      <c r="D153" s="437"/>
      <c r="E153" s="437"/>
      <c r="F153" s="343"/>
      <c r="H153" s="425"/>
    </row>
    <row r="154" spans="2:8" x14ac:dyDescent="0.2">
      <c r="B154" s="430"/>
      <c r="C154" s="437"/>
      <c r="D154" s="437"/>
      <c r="E154" s="437"/>
      <c r="F154" s="343"/>
      <c r="H154" s="425"/>
    </row>
    <row r="155" spans="2:8" x14ac:dyDescent="0.2">
      <c r="B155" s="430" t="s">
        <v>1661</v>
      </c>
      <c r="C155" s="437"/>
      <c r="D155" s="437"/>
      <c r="E155" s="437"/>
      <c r="F155" s="343"/>
      <c r="H155" s="425"/>
    </row>
    <row r="156" spans="2:8" x14ac:dyDescent="0.2">
      <c r="B156" s="441"/>
      <c r="C156" s="437"/>
      <c r="D156" s="437"/>
      <c r="E156" s="437"/>
      <c r="F156" s="343"/>
      <c r="H156" s="425"/>
    </row>
    <row r="157" spans="2:8" x14ac:dyDescent="0.2">
      <c r="B157" s="430" t="s">
        <v>1711</v>
      </c>
      <c r="C157" s="437"/>
      <c r="D157" s="437"/>
      <c r="E157" s="437"/>
      <c r="F157" s="343"/>
      <c r="H157" s="425"/>
    </row>
    <row r="158" spans="2:8" x14ac:dyDescent="0.2">
      <c r="B158" s="430"/>
      <c r="C158" s="437"/>
      <c r="D158" s="437"/>
      <c r="E158" s="437"/>
      <c r="F158" s="343"/>
      <c r="H158" s="425"/>
    </row>
    <row r="159" spans="2:8" x14ac:dyDescent="0.2">
      <c r="B159" s="430" t="s">
        <v>1716</v>
      </c>
      <c r="C159" s="437"/>
      <c r="D159" s="437"/>
      <c r="E159" s="437"/>
      <c r="F159" s="343"/>
      <c r="H159" s="425"/>
    </row>
    <row r="160" spans="2:8" x14ac:dyDescent="0.2">
      <c r="B160" s="430"/>
      <c r="C160" s="437"/>
      <c r="D160" s="437"/>
      <c r="E160" s="437"/>
      <c r="F160" s="343"/>
      <c r="H160" s="425"/>
    </row>
    <row r="161" spans="2:8" x14ac:dyDescent="0.2">
      <c r="B161" s="430" t="s">
        <v>1633</v>
      </c>
      <c r="C161" s="442"/>
      <c r="D161" s="442"/>
      <c r="E161" s="442"/>
      <c r="F161" s="443"/>
      <c r="H161" s="425"/>
    </row>
    <row r="162" spans="2:8" x14ac:dyDescent="0.2">
      <c r="B162" s="444"/>
      <c r="H162" s="425"/>
    </row>
    <row r="163" spans="2:8" x14ac:dyDescent="0.2">
      <c r="B163" s="430" t="s">
        <v>1715</v>
      </c>
      <c r="C163" s="442"/>
      <c r="D163" s="442"/>
      <c r="E163" s="442"/>
      <c r="F163" s="443"/>
      <c r="G163" s="332"/>
      <c r="H163" s="385"/>
    </row>
    <row r="164" spans="2:8" x14ac:dyDescent="0.2">
      <c r="B164" s="430"/>
      <c r="C164" s="442"/>
      <c r="D164" s="442"/>
      <c r="E164" s="442"/>
      <c r="F164" s="443"/>
      <c r="G164" s="332"/>
      <c r="H164" s="385"/>
    </row>
    <row r="165" spans="2:8" x14ac:dyDescent="0.2">
      <c r="B165" s="349" t="s">
        <v>1720</v>
      </c>
      <c r="C165" s="361"/>
      <c r="D165" s="361"/>
      <c r="E165" s="361"/>
      <c r="F165" s="362"/>
      <c r="G165" s="332"/>
      <c r="H165" s="385"/>
    </row>
    <row r="166" spans="2:8" x14ac:dyDescent="0.2">
      <c r="B166" s="349"/>
      <c r="C166" s="343"/>
      <c r="D166" s="343"/>
      <c r="E166" s="378"/>
      <c r="F166" s="378"/>
      <c r="G166" s="375"/>
      <c r="H166" s="385"/>
    </row>
    <row r="167" spans="2:8" x14ac:dyDescent="0.2">
      <c r="B167" s="445" t="s">
        <v>1721</v>
      </c>
      <c r="C167" s="331"/>
      <c r="D167" s="446"/>
      <c r="F167" s="331"/>
      <c r="G167" s="331"/>
      <c r="H167" s="447"/>
    </row>
    <row r="168" spans="2:8" x14ac:dyDescent="0.2">
      <c r="B168" s="364" t="s">
        <v>1445</v>
      </c>
      <c r="C168" s="374">
        <v>0</v>
      </c>
      <c r="D168" s="331"/>
      <c r="F168" s="331"/>
      <c r="H168" s="447"/>
    </row>
    <row r="169" spans="2:8" x14ac:dyDescent="0.2">
      <c r="B169" s="364" t="s">
        <v>1446</v>
      </c>
      <c r="C169" s="374">
        <v>562</v>
      </c>
      <c r="D169" s="331"/>
      <c r="F169" s="375"/>
      <c r="G169" s="375"/>
      <c r="H169" s="447"/>
    </row>
    <row r="170" spans="2:8" x14ac:dyDescent="0.2">
      <c r="B170" s="364" t="s">
        <v>1447</v>
      </c>
      <c r="C170" s="374">
        <v>0</v>
      </c>
      <c r="D170" s="331"/>
      <c r="F170" s="375"/>
      <c r="G170" s="375"/>
      <c r="H170" s="447"/>
    </row>
    <row r="171" spans="2:8" x14ac:dyDescent="0.2">
      <c r="B171" s="364" t="s">
        <v>1448</v>
      </c>
      <c r="C171" s="374">
        <v>562</v>
      </c>
      <c r="D171" s="331"/>
      <c r="F171" s="375"/>
      <c r="G171" s="375"/>
      <c r="H171" s="447"/>
    </row>
    <row r="172" spans="2:8" x14ac:dyDescent="0.2">
      <c r="B172" s="364" t="s">
        <v>1449</v>
      </c>
      <c r="C172" s="374">
        <v>0</v>
      </c>
      <c r="D172" s="331"/>
      <c r="F172" s="375"/>
      <c r="G172" s="375"/>
      <c r="H172" s="447"/>
    </row>
    <row r="173" spans="2:8" x14ac:dyDescent="0.2">
      <c r="B173" s="364" t="s">
        <v>1450</v>
      </c>
      <c r="C173" s="374">
        <v>313963704.71000004</v>
      </c>
      <c r="D173" s="331"/>
      <c r="F173" s="375"/>
      <c r="G173" s="375"/>
      <c r="H173" s="447"/>
    </row>
    <row r="174" spans="2:8" x14ac:dyDescent="0.2">
      <c r="B174" s="364" t="s">
        <v>1451</v>
      </c>
      <c r="C174" s="374">
        <v>0</v>
      </c>
      <c r="D174" s="331"/>
      <c r="F174" s="375"/>
      <c r="G174" s="375"/>
      <c r="H174" s="447"/>
    </row>
    <row r="175" spans="2:8" x14ac:dyDescent="0.2">
      <c r="B175" s="364" t="s">
        <v>1452</v>
      </c>
      <c r="C175" s="374">
        <v>305890055</v>
      </c>
      <c r="D175" s="331"/>
      <c r="F175" s="375"/>
      <c r="G175" s="376"/>
      <c r="H175" s="447"/>
    </row>
    <row r="176" spans="2:8" x14ac:dyDescent="0.2">
      <c r="B176" s="364" t="s">
        <v>1453</v>
      </c>
      <c r="C176" s="374">
        <v>-8073649.709999999</v>
      </c>
      <c r="D176" s="386"/>
      <c r="F176" s="375"/>
      <c r="G176" s="377"/>
      <c r="H176" s="447"/>
    </row>
    <row r="177" spans="2:8" x14ac:dyDescent="0.2">
      <c r="B177" s="328"/>
      <c r="C177" s="331"/>
      <c r="D177" s="331"/>
      <c r="E177" s="334"/>
      <c r="F177" s="375"/>
      <c r="G177" s="377"/>
      <c r="H177" s="447"/>
    </row>
    <row r="178" spans="2:8" x14ac:dyDescent="0.2">
      <c r="B178" s="424" t="s">
        <v>1642</v>
      </c>
      <c r="C178" s="448"/>
      <c r="D178" s="448"/>
      <c r="E178" s="343"/>
      <c r="F178" s="449"/>
      <c r="G178" s="450"/>
      <c r="H178" s="385"/>
    </row>
    <row r="179" spans="2:8" x14ac:dyDescent="0.2">
      <c r="B179" s="381"/>
      <c r="C179" s="382"/>
      <c r="D179" s="382"/>
      <c r="E179" s="343"/>
      <c r="F179" s="343"/>
      <c r="G179" s="343"/>
      <c r="H179" s="385"/>
    </row>
    <row r="180" spans="2:8" x14ac:dyDescent="0.2">
      <c r="B180" s="424" t="s">
        <v>1643</v>
      </c>
      <c r="C180" s="448"/>
      <c r="D180" s="448"/>
      <c r="E180" s="343"/>
      <c r="F180" s="449"/>
      <c r="G180" s="343"/>
      <c r="H180" s="385"/>
    </row>
    <row r="181" spans="2:8" x14ac:dyDescent="0.2">
      <c r="B181" s="451"/>
      <c r="C181" s="452"/>
      <c r="D181" s="452"/>
      <c r="E181" s="452"/>
      <c r="F181" s="452"/>
      <c r="G181" s="343"/>
      <c r="H181" s="385"/>
    </row>
    <row r="182" spans="2:8" x14ac:dyDescent="0.2">
      <c r="B182" s="424" t="s">
        <v>1644</v>
      </c>
      <c r="C182" s="343"/>
      <c r="D182" s="343"/>
      <c r="E182" s="343"/>
      <c r="F182" s="343"/>
      <c r="G182" s="343"/>
      <c r="H182" s="385"/>
    </row>
    <row r="183" spans="2:8" x14ac:dyDescent="0.2">
      <c r="B183" s="453"/>
      <c r="C183" s="389"/>
      <c r="D183" s="389"/>
      <c r="E183" s="389"/>
      <c r="F183" s="389"/>
      <c r="G183" s="389"/>
      <c r="H183" s="454"/>
    </row>
    <row r="186" spans="2:8" x14ac:dyDescent="0.2">
      <c r="B186" s="446" t="s">
        <v>1486</v>
      </c>
    </row>
    <row r="187" spans="2:8" x14ac:dyDescent="0.2">
      <c r="B187" s="286" t="s">
        <v>1634</v>
      </c>
    </row>
    <row r="188" spans="2:8" x14ac:dyDescent="0.2">
      <c r="B188" s="286" t="s">
        <v>1635</v>
      </c>
    </row>
    <row r="189" spans="2:8" x14ac:dyDescent="0.2">
      <c r="B189" s="286" t="s">
        <v>1489</v>
      </c>
    </row>
    <row r="191" spans="2:8" x14ac:dyDescent="0.2">
      <c r="B191" s="414" t="s">
        <v>1490</v>
      </c>
      <c r="C191" s="457" t="s">
        <v>1491</v>
      </c>
      <c r="D191" s="457"/>
    </row>
    <row r="192" spans="2:8" x14ac:dyDescent="0.2">
      <c r="B192" s="415"/>
      <c r="C192" s="458" t="s">
        <v>1636</v>
      </c>
      <c r="D192" s="458"/>
    </row>
    <row r="193" spans="2:2" x14ac:dyDescent="0.2">
      <c r="B193" s="415"/>
    </row>
    <row r="194" spans="2:2" x14ac:dyDescent="0.2">
      <c r="B194" s="415"/>
    </row>
    <row r="195" spans="2:2" x14ac:dyDescent="0.2">
      <c r="B195" s="415"/>
    </row>
    <row r="196" spans="2:2" x14ac:dyDescent="0.2">
      <c r="B196" s="415"/>
    </row>
    <row r="197" spans="2:2" x14ac:dyDescent="0.2">
      <c r="B197" s="415"/>
    </row>
    <row r="198" spans="2:2" x14ac:dyDescent="0.2">
      <c r="B198" s="415"/>
    </row>
    <row r="199" spans="2:2" x14ac:dyDescent="0.2">
      <c r="B199" s="415"/>
    </row>
    <row r="200" spans="2:2" x14ac:dyDescent="0.2">
      <c r="B200" s="415"/>
    </row>
    <row r="201" spans="2:2" x14ac:dyDescent="0.2">
      <c r="B201" s="415"/>
    </row>
  </sheetData>
  <mergeCells count="4">
    <mergeCell ref="B133:B134"/>
    <mergeCell ref="C133:C134"/>
    <mergeCell ref="C191:D191"/>
    <mergeCell ref="C192:D192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PPFCF</vt:lpstr>
      <vt:lpstr>PPLF</vt:lpstr>
      <vt:lpstr>PPTSF</vt:lpstr>
      <vt:lpstr>PPCHF</vt:lpstr>
      <vt:lpstr>PPAF</vt:lpstr>
      <vt:lpstr>PPDAAF</vt:lpstr>
      <vt:lpstr>PPLCF</vt:lpstr>
      <vt:lpstr>PPLCF!JR_PAGE_ANCHOR_0_10</vt:lpstr>
      <vt:lpstr>PPFCF!JR_PAGE_ANCHOR_0_2</vt:lpstr>
      <vt:lpstr>JR_PAGE_ANCHOR_0_3</vt:lpstr>
      <vt:lpstr>JR_PAGE_ANCHOR_0_4</vt:lpstr>
      <vt:lpstr>JR_PAGE_ANCHOR_0_6</vt:lpstr>
      <vt:lpstr>JR_PAGE_ANCHOR_0_7</vt:lpstr>
      <vt:lpstr>JR_PAGE_ANCHOR_0_8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2026-04-09T06:35:01Z</dcterms:modified>
</cp:coreProperties>
</file>